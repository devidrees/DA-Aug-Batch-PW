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vid\Desktop\PW\DA-Aug-Batch-PW\Excel\"/>
    </mc:Choice>
  </mc:AlternateContent>
  <xr:revisionPtr revIDLastSave="0" documentId="13_ncr:1_{D2E1E2AC-EEF3-473B-855D-F4456F103C27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Basic" sheetId="1" r:id="rId1"/>
    <sheet name="Cell References" sheetId="3" r:id="rId2"/>
    <sheet name="Shortcuts" sheetId="2" r:id="rId3"/>
    <sheet name="Exercise" sheetId="4" r:id="rId4"/>
    <sheet name="Basic Functions" sheetId="5" r:id="rId5"/>
    <sheet name="Text functions" sheetId="6" r:id="rId6"/>
    <sheet name="Date Time functions" sheetId="7" r:id="rId7"/>
    <sheet name="Advanced - Lookup functio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1" i="8" l="1"/>
  <c r="F190" i="8"/>
  <c r="F191" i="8"/>
  <c r="F192" i="8"/>
  <c r="F193" i="8"/>
  <c r="F194" i="8"/>
  <c r="F195" i="8"/>
  <c r="F189" i="8"/>
  <c r="E190" i="8"/>
  <c r="E191" i="8"/>
  <c r="E192" i="8"/>
  <c r="E193" i="8"/>
  <c r="E194" i="8"/>
  <c r="E195" i="8"/>
  <c r="E189" i="8"/>
  <c r="F184" i="8"/>
  <c r="F185" i="8"/>
  <c r="F186" i="8"/>
  <c r="E184" i="8"/>
  <c r="E185" i="8"/>
  <c r="E186" i="8"/>
  <c r="F183" i="8"/>
  <c r="E183" i="8"/>
  <c r="G172" i="8"/>
  <c r="F164" i="8"/>
  <c r="F163" i="8"/>
  <c r="F162" i="8"/>
  <c r="F158" i="8"/>
  <c r="G159" i="8"/>
  <c r="F159" i="8"/>
  <c r="F157" i="8"/>
  <c r="F146" i="8"/>
  <c r="F145" i="8"/>
  <c r="G143" i="8"/>
  <c r="G142" i="8"/>
  <c r="D142" i="8"/>
  <c r="G24" i="8" l="1"/>
  <c r="H10" i="8"/>
  <c r="G8" i="8"/>
  <c r="H32" i="6"/>
  <c r="H28" i="6"/>
  <c r="D43" i="8" a="1"/>
  <c r="D43" i="8" s="1"/>
  <c r="D123" i="8"/>
  <c r="D39" i="8" a="1"/>
  <c r="D39" i="8" s="1"/>
  <c r="C132" i="8"/>
  <c r="C133" i="8"/>
  <c r="C134" i="8"/>
  <c r="C131" i="8"/>
  <c r="C122" i="8"/>
  <c r="C123" i="8"/>
  <c r="C124" i="8"/>
  <c r="C125" i="8"/>
  <c r="C126" i="8"/>
  <c r="D114" i="8"/>
  <c r="F107" i="8"/>
  <c r="E95" i="8"/>
  <c r="E94" i="8"/>
  <c r="D107" i="8"/>
  <c r="E99" i="8"/>
  <c r="H74" i="8"/>
  <c r="H75" i="8"/>
  <c r="H76" i="8"/>
  <c r="H77" i="8"/>
  <c r="I54" i="8" a="1"/>
  <c r="I54" i="8" s="1"/>
  <c r="E37" i="8"/>
  <c r="D37" i="8"/>
  <c r="F32" i="8"/>
  <c r="F33" i="8"/>
  <c r="F34" i="8"/>
  <c r="F35" i="8"/>
  <c r="F36" i="8"/>
  <c r="F37" i="8"/>
  <c r="F31" i="8"/>
  <c r="E34" i="8"/>
  <c r="E33" i="8"/>
  <c r="E32" i="8"/>
  <c r="E35" i="8"/>
  <c r="E36" i="8"/>
  <c r="E31" i="8"/>
  <c r="D32" i="8"/>
  <c r="D33" i="8"/>
  <c r="D34" i="8"/>
  <c r="D35" i="8"/>
  <c r="D36" i="8"/>
  <c r="D31" i="8"/>
  <c r="E69" i="7"/>
  <c r="C51" i="7"/>
  <c r="E30" i="7"/>
  <c r="E29" i="7"/>
  <c r="G79" i="5"/>
  <c r="D94" i="7"/>
  <c r="E72" i="7"/>
  <c r="E76" i="7"/>
  <c r="E70" i="7"/>
  <c r="E71" i="7"/>
  <c r="E59" i="7"/>
  <c r="E60" i="7"/>
  <c r="E61" i="7"/>
  <c r="E62" i="7"/>
  <c r="E63" i="7"/>
  <c r="C45" i="7"/>
  <c r="E45" i="7" s="1"/>
  <c r="G40" i="7"/>
  <c r="E41" i="7"/>
  <c r="F41" i="7" s="1"/>
  <c r="D41" i="7"/>
  <c r="D42" i="7"/>
  <c r="E42" i="7" s="1"/>
  <c r="F42" i="7" s="1"/>
  <c r="D40" i="7"/>
  <c r="E40" i="7" s="1"/>
  <c r="F40" i="7" s="1"/>
  <c r="H27" i="6"/>
  <c r="H26" i="6"/>
  <c r="H25" i="6"/>
  <c r="L23" i="6"/>
  <c r="L22" i="6"/>
  <c r="H22" i="6"/>
  <c r="L21" i="6"/>
  <c r="H21" i="6"/>
  <c r="L20" i="6"/>
  <c r="L19" i="6"/>
  <c r="H19" i="6"/>
  <c r="L18" i="6"/>
  <c r="H18" i="6"/>
  <c r="H17" i="6"/>
  <c r="F15" i="6"/>
  <c r="J13" i="6"/>
  <c r="J11" i="6"/>
  <c r="J8" i="6"/>
  <c r="E79" i="5"/>
  <c r="E80" i="5"/>
  <c r="E81" i="5"/>
  <c r="E82" i="5"/>
  <c r="E83" i="5"/>
  <c r="E84" i="5"/>
  <c r="D80" i="5"/>
  <c r="D81" i="5"/>
  <c r="D82" i="5"/>
  <c r="D83" i="5"/>
  <c r="D84" i="5"/>
  <c r="D79" i="5"/>
  <c r="E73" i="5"/>
  <c r="E74" i="5"/>
  <c r="E75" i="5"/>
  <c r="E72" i="5"/>
  <c r="D73" i="5"/>
  <c r="D74" i="5"/>
  <c r="D75" i="5"/>
  <c r="D72" i="5"/>
  <c r="E48" i="7" l="1"/>
  <c r="E47" i="7"/>
  <c r="E46" i="7"/>
  <c r="N47" i="5" a="1"/>
  <c r="N47" i="5" s="1"/>
  <c r="N48" i="5" a="1"/>
  <c r="N48" i="5" s="1"/>
  <c r="N49" i="5" a="1"/>
  <c r="N49" i="5" s="1"/>
  <c r="N50" i="5" a="1"/>
  <c r="N50" i="5" s="1"/>
  <c r="N51" i="5" a="1"/>
  <c r="N51" i="5"/>
  <c r="N52" i="5" a="1"/>
  <c r="N52" i="5" s="1"/>
  <c r="N53" i="5" a="1"/>
  <c r="N53" i="5" s="1"/>
  <c r="N46" i="5" a="1"/>
  <c r="N46" i="5" s="1"/>
  <c r="E48" i="5"/>
  <c r="E49" i="5"/>
  <c r="E50" i="5"/>
  <c r="E51" i="5"/>
  <c r="E52" i="5"/>
  <c r="E53" i="5"/>
  <c r="F11" i="5"/>
  <c r="J35" i="5"/>
  <c r="J32" i="5"/>
  <c r="J31" i="5"/>
  <c r="J28" i="5"/>
  <c r="J27" i="5"/>
  <c r="J26" i="5"/>
  <c r="J30" i="5"/>
  <c r="J29" i="5"/>
  <c r="J25" i="5"/>
  <c r="J24" i="5"/>
  <c r="J23" i="5"/>
  <c r="R36" i="5"/>
  <c r="J20" i="5"/>
  <c r="J19" i="5"/>
  <c r="J22" i="5"/>
  <c r="R31" i="5"/>
  <c r="R32" i="5"/>
  <c r="R33" i="5"/>
  <c r="R30" i="5"/>
  <c r="R25" i="5"/>
  <c r="R27" i="5"/>
  <c r="R24" i="5"/>
  <c r="R28" i="5" s="1"/>
  <c r="S28" i="5"/>
  <c r="J21" i="5"/>
  <c r="N13" i="5"/>
  <c r="F12" i="5" a="1"/>
  <c r="F12" i="5" s="1"/>
  <c r="F10" i="5"/>
  <c r="D18" i="3"/>
  <c r="E6" i="3"/>
  <c r="E7" i="3"/>
  <c r="E8" i="3"/>
  <c r="E9" i="3"/>
  <c r="H2" i="4"/>
  <c r="H3" i="4"/>
  <c r="H4" i="4"/>
  <c r="H5" i="4"/>
  <c r="H6" i="4"/>
  <c r="F3" i="4"/>
  <c r="F4" i="4"/>
  <c r="F5" i="4"/>
  <c r="F6" i="4"/>
  <c r="D6" i="4"/>
  <c r="F2" i="4"/>
  <c r="C16" i="4"/>
  <c r="D16" i="4"/>
  <c r="E16" i="4"/>
  <c r="F16" i="4"/>
  <c r="B16" i="4"/>
  <c r="D5" i="4"/>
  <c r="D4" i="4"/>
  <c r="D3" i="4"/>
  <c r="D2" i="4"/>
  <c r="F30" i="3"/>
  <c r="G30" i="3"/>
  <c r="H30" i="3"/>
  <c r="I30" i="3"/>
  <c r="J30" i="3"/>
  <c r="K30" i="3"/>
  <c r="L30" i="3"/>
  <c r="F31" i="3"/>
  <c r="G31" i="3"/>
  <c r="H31" i="3"/>
  <c r="I31" i="3"/>
  <c r="J31" i="3"/>
  <c r="K31" i="3"/>
  <c r="L31" i="3"/>
  <c r="F32" i="3"/>
  <c r="G32" i="3"/>
  <c r="H32" i="3"/>
  <c r="I32" i="3"/>
  <c r="J32" i="3"/>
  <c r="K32" i="3"/>
  <c r="L32" i="3"/>
  <c r="F33" i="3"/>
  <c r="G33" i="3"/>
  <c r="H33" i="3"/>
  <c r="I33" i="3"/>
  <c r="J33" i="3"/>
  <c r="K33" i="3"/>
  <c r="L33" i="3"/>
  <c r="F34" i="3"/>
  <c r="G34" i="3"/>
  <c r="H34" i="3"/>
  <c r="I34" i="3"/>
  <c r="J34" i="3"/>
  <c r="K34" i="3"/>
  <c r="L34" i="3"/>
  <c r="F35" i="3"/>
  <c r="G35" i="3"/>
  <c r="H35" i="3"/>
  <c r="I35" i="3"/>
  <c r="J35" i="3"/>
  <c r="K35" i="3"/>
  <c r="L35" i="3"/>
  <c r="F36" i="3"/>
  <c r="G36" i="3"/>
  <c r="H36" i="3"/>
  <c r="I36" i="3"/>
  <c r="J36" i="3"/>
  <c r="K36" i="3"/>
  <c r="L36" i="3"/>
  <c r="F37" i="3"/>
  <c r="G37" i="3"/>
  <c r="H37" i="3"/>
  <c r="I37" i="3"/>
  <c r="J37" i="3"/>
  <c r="K37" i="3"/>
  <c r="L37" i="3"/>
  <c r="F38" i="3"/>
  <c r="G38" i="3"/>
  <c r="H38" i="3"/>
  <c r="I38" i="3"/>
  <c r="J38" i="3"/>
  <c r="K38" i="3"/>
  <c r="L38" i="3"/>
  <c r="F39" i="3"/>
  <c r="G39" i="3"/>
  <c r="H39" i="3"/>
  <c r="I39" i="3"/>
  <c r="J39" i="3"/>
  <c r="K39" i="3"/>
  <c r="L39" i="3"/>
  <c r="E30" i="3"/>
  <c r="E31" i="3"/>
  <c r="E32" i="3"/>
  <c r="E33" i="3"/>
  <c r="E34" i="3"/>
  <c r="E35" i="3"/>
  <c r="E36" i="3"/>
  <c r="E37" i="3"/>
  <c r="E38" i="3"/>
  <c r="E39" i="3"/>
  <c r="D30" i="3"/>
  <c r="D31" i="3"/>
  <c r="D32" i="3"/>
  <c r="D33" i="3"/>
  <c r="D34" i="3"/>
  <c r="D35" i="3"/>
  <c r="D36" i="3"/>
  <c r="D37" i="3"/>
  <c r="D38" i="3"/>
  <c r="D39" i="3"/>
  <c r="C31" i="3"/>
  <c r="C32" i="3"/>
  <c r="C33" i="3"/>
  <c r="C34" i="3"/>
  <c r="C35" i="3"/>
  <c r="C36" i="3"/>
  <c r="C37" i="3"/>
  <c r="C38" i="3"/>
  <c r="C39" i="3"/>
  <c r="C30" i="3"/>
  <c r="D21" i="3"/>
  <c r="D20" i="3"/>
  <c r="D19" i="3"/>
  <c r="D22" i="3"/>
  <c r="D23" i="3"/>
  <c r="E5" i="3"/>
  <c r="R3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 Idrees</author>
  </authors>
  <commentList>
    <comment ref="F1" authorId="0" shapeId="0" xr:uid="{19503DD0-5A2C-40C7-9E7E-BD842A74FB81}">
      <text>
        <r>
          <rPr>
            <b/>
            <sz val="9"/>
            <color indexed="81"/>
            <rFont val="Tahoma"/>
            <family val="2"/>
          </rPr>
          <t>Dev Idrees:</t>
        </r>
        <r>
          <rPr>
            <sz val="9"/>
            <color indexed="81"/>
            <rFont val="Tahoma"/>
            <family val="2"/>
          </rPr>
          <t xml:space="preserve">
total price + totalprice * tax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<sst xmlns="http://schemas.openxmlformats.org/spreadsheetml/2006/main" count="626" uniqueCount="386">
  <si>
    <t>Navigate between sheets</t>
  </si>
  <si>
    <t>Ctrl + Pg up/pg down</t>
  </si>
  <si>
    <t>Task</t>
  </si>
  <si>
    <t>Shortcut</t>
  </si>
  <si>
    <t>Ctrl + Z | Ctrl + Y</t>
  </si>
  <si>
    <t>Undo | Redo</t>
  </si>
  <si>
    <t>Workbook can contain a lot of worksheets</t>
  </si>
  <si>
    <t>Ctrl + Arrow Keys</t>
  </si>
  <si>
    <t>Jump to the edge of a data region in the respective direction.</t>
  </si>
  <si>
    <t>Ctrl + Home</t>
  </si>
  <si>
    <t>Ctrl + End</t>
  </si>
  <si>
    <t>Shift + Space</t>
  </si>
  <si>
    <t>Ctrl + Space</t>
  </si>
  <si>
    <t>Alt + Tab</t>
  </si>
  <si>
    <t>F5 or Ctrl + G</t>
  </si>
  <si>
    <t>First cell (A1) in the worksheet</t>
  </si>
  <si>
    <t xml:space="preserve"> Last cell with data</t>
  </si>
  <si>
    <t xml:space="preserve">Select the entire row </t>
  </si>
  <si>
    <t xml:space="preserve">Select the entire column </t>
  </si>
  <si>
    <t>Switch between applications/ workbooks</t>
  </si>
  <si>
    <t>"Go To" dialog box to navigate to a cell or range</t>
  </si>
  <si>
    <t>Cells are the basic unit in excel</t>
  </si>
  <si>
    <r>
      <t>Every cell has an address based on =</t>
    </r>
    <r>
      <rPr>
        <b/>
        <sz val="11"/>
        <color theme="1"/>
        <rFont val="Rockwell"/>
        <family val="2"/>
        <scheme val="minor"/>
      </rPr>
      <t xml:space="preserve"> Column Letter</t>
    </r>
    <r>
      <rPr>
        <sz val="11"/>
        <color theme="1"/>
        <rFont val="Rockwell"/>
        <family val="2"/>
        <scheme val="minor"/>
      </rPr>
      <t xml:space="preserve"> </t>
    </r>
    <r>
      <rPr>
        <b/>
        <sz val="11"/>
        <color theme="1"/>
        <rFont val="Rockwell"/>
        <family val="2"/>
        <scheme val="minor"/>
      </rPr>
      <t>Row Number</t>
    </r>
  </si>
  <si>
    <t>IDREES</t>
  </si>
  <si>
    <t>Name</t>
  </si>
  <si>
    <t>Relative References</t>
  </si>
  <si>
    <t>Absolute References</t>
  </si>
  <si>
    <t>Mixed References</t>
  </si>
  <si>
    <t>Product</t>
  </si>
  <si>
    <t>Burger</t>
  </si>
  <si>
    <t>Pizza</t>
  </si>
  <si>
    <t>Sandwich</t>
  </si>
  <si>
    <t>Coffee</t>
  </si>
  <si>
    <t>Fries</t>
  </si>
  <si>
    <t>Price</t>
  </si>
  <si>
    <t>Quantity</t>
  </si>
  <si>
    <t>Total</t>
  </si>
  <si>
    <t>Show formulas</t>
  </si>
  <si>
    <t>Ctrl + `</t>
  </si>
  <si>
    <t>Alice</t>
  </si>
  <si>
    <t>Bob</t>
  </si>
  <si>
    <t>Charlie</t>
  </si>
  <si>
    <t>Derek</t>
  </si>
  <si>
    <t>Elaine</t>
  </si>
  <si>
    <t>Feroz</t>
  </si>
  <si>
    <t>Marks</t>
  </si>
  <si>
    <t>Percentage</t>
  </si>
  <si>
    <t>Max marks</t>
  </si>
  <si>
    <t>Multiplication table</t>
  </si>
  <si>
    <t>Tax Rate</t>
  </si>
  <si>
    <t>Total Price</t>
  </si>
  <si>
    <t>With Tax</t>
  </si>
  <si>
    <t>Date</t>
  </si>
  <si>
    <t>Ctrl + 1</t>
  </si>
  <si>
    <t>Custom Formats panel</t>
  </si>
  <si>
    <t>for different rates</t>
  </si>
  <si>
    <t>Megha</t>
  </si>
  <si>
    <t>Satyam</t>
  </si>
  <si>
    <t>Shamshad</t>
  </si>
  <si>
    <t>Khalid</t>
  </si>
  <si>
    <t>Pratik</t>
  </si>
  <si>
    <t>Sandeep</t>
  </si>
  <si>
    <t>Irfan</t>
  </si>
  <si>
    <t>Attendance</t>
  </si>
  <si>
    <t>Maths</t>
  </si>
  <si>
    <t>Idrees</t>
  </si>
  <si>
    <t>Functions</t>
  </si>
  <si>
    <t>Math: Things that take input, process it and give us an output</t>
  </si>
  <si>
    <t>Excel: Functions are predefined formulas used to perform calculations</t>
  </si>
  <si>
    <t>Arguments: are the inputs we provide to the functions</t>
  </si>
  <si>
    <t>SUM( number, number,...)</t>
  </si>
  <si>
    <t>Fees (K)</t>
  </si>
  <si>
    <t>Aggregates</t>
  </si>
  <si>
    <t>Calculation that use a lot of data at once to give a summarized number</t>
  </si>
  <si>
    <t xml:space="preserve">Range of cells: </t>
  </si>
  <si>
    <t>N5:N12</t>
  </si>
  <si>
    <t>Adds numerical values in a selected range</t>
  </si>
  <si>
    <t>SUM(range)</t>
  </si>
  <si>
    <t>Syntax</t>
  </si>
  <si>
    <t>Function</t>
  </si>
  <si>
    <t>Example</t>
  </si>
  <si>
    <t>Alt + =</t>
  </si>
  <si>
    <t>Sum in the cell below</t>
  </si>
  <si>
    <r>
      <t xml:space="preserve">Adds numbers that meet a </t>
    </r>
    <r>
      <rPr>
        <b/>
        <sz val="11"/>
        <color theme="1"/>
        <rFont val="Rockwell"/>
        <family val="1"/>
        <scheme val="minor"/>
      </rPr>
      <t>condition</t>
    </r>
  </si>
  <si>
    <t>SUMIF(range,condition)</t>
  </si>
  <si>
    <t>SUMPRODUCT(range,range)</t>
  </si>
  <si>
    <t xml:space="preserve">total = </t>
  </si>
  <si>
    <t>sumproduct =</t>
  </si>
  <si>
    <t>Multiply values and then add the results. SUM of PRODUCTS.</t>
  </si>
  <si>
    <t>PRODUCT(range)</t>
  </si>
  <si>
    <t>Muultiplies numerical values in a selected range</t>
  </si>
  <si>
    <t>AVERAGE(range)</t>
  </si>
  <si>
    <t>AVERAGEIF(range, condition)</t>
  </si>
  <si>
    <t>AVERAGEIFS(range, range, condition)</t>
  </si>
  <si>
    <t>IF Functions</t>
  </si>
  <si>
    <t>COUNT(range)</t>
  </si>
  <si>
    <t>COUNTIF(range, condition)</t>
  </si>
  <si>
    <t>COUNTBLANK(range)</t>
  </si>
  <si>
    <t>COUNTIFS(range,condition,range,condition)</t>
  </si>
  <si>
    <t>Count all empty cells</t>
  </si>
  <si>
    <t>COUNTA(range)</t>
  </si>
  <si>
    <t>Counts all non-empty cells including text</t>
  </si>
  <si>
    <t>Count all the number of non empty cells</t>
  </si>
  <si>
    <t>MIN(range)</t>
  </si>
  <si>
    <t>MAX(range)</t>
  </si>
  <si>
    <t>invalid data type in a range</t>
  </si>
  <si>
    <t>If division by zero</t>
  </si>
  <si>
    <t xml:space="preserve">Invalid reference </t>
  </si>
  <si>
    <t>we test a condition. If condition is true, return a result.</t>
  </si>
  <si>
    <t xml:space="preserve">e.g. </t>
  </si>
  <si>
    <t>IF(condition, value_if_TRUE, value_if_FALSE)</t>
  </si>
  <si>
    <t>age</t>
  </si>
  <si>
    <t>voter</t>
  </si>
  <si>
    <t>Exam Eligible</t>
  </si>
  <si>
    <t>Grades</t>
  </si>
  <si>
    <t>Nested IF</t>
  </si>
  <si>
    <r>
      <rPr>
        <sz val="11"/>
        <color theme="9" tint="-0.249977111117893"/>
        <rFont val="Rockwell"/>
        <family val="1"/>
        <scheme val="minor"/>
      </rPr>
      <t>IF(A2&gt;90, "A",</t>
    </r>
    <r>
      <rPr>
        <sz val="11"/>
        <color theme="1"/>
        <rFont val="Rockwell"/>
        <family val="2"/>
        <scheme val="minor"/>
      </rPr>
      <t xml:space="preserve"> </t>
    </r>
    <r>
      <rPr>
        <sz val="11"/>
        <color theme="4" tint="0.39997558519241921"/>
        <rFont val="Rockwell"/>
        <family val="1"/>
        <scheme val="minor"/>
      </rPr>
      <t>IF(A2&gt; 80, "B",</t>
    </r>
    <r>
      <rPr>
        <sz val="11"/>
        <color theme="7" tint="-0.249977111117893"/>
        <rFont val="Rockwell"/>
        <family val="1"/>
        <scheme val="minor"/>
      </rPr>
      <t xml:space="preserve"> IF(A2&gt; 70, "C" )</t>
    </r>
    <r>
      <rPr>
        <sz val="11"/>
        <color theme="4" tint="0.39997558519241921"/>
        <rFont val="Rockwell"/>
        <family val="1"/>
        <scheme val="minor"/>
      </rPr>
      <t>)</t>
    </r>
    <r>
      <rPr>
        <sz val="11"/>
        <color theme="9" tint="-0.249977111117893"/>
        <rFont val="Rockwell"/>
        <family val="1"/>
        <scheme val="minor"/>
      </rPr>
      <t>)</t>
    </r>
  </si>
  <si>
    <t>average for numbers in range that meet the condition</t>
  </si>
  <si>
    <t>Logical Functions</t>
  </si>
  <si>
    <r>
      <t>IFS(</t>
    </r>
    <r>
      <rPr>
        <sz val="11"/>
        <color theme="4" tint="0.39997558519241921"/>
        <rFont val="Rockwell"/>
        <family val="1"/>
        <scheme val="minor"/>
      </rPr>
      <t>A2&gt;90, "A",</t>
    </r>
    <r>
      <rPr>
        <sz val="11"/>
        <color theme="1"/>
        <rFont val="Rockwell"/>
        <family val="2"/>
        <scheme val="minor"/>
      </rPr>
      <t xml:space="preserve"> </t>
    </r>
    <r>
      <rPr>
        <sz val="11"/>
        <color theme="7" tint="-0.249977111117893"/>
        <rFont val="Rockwell"/>
        <family val="1"/>
        <scheme val="minor"/>
      </rPr>
      <t>A2&gt; 80, "B"</t>
    </r>
    <r>
      <rPr>
        <sz val="11"/>
        <color theme="1"/>
        <rFont val="Rockwell"/>
        <family val="2"/>
        <scheme val="minor"/>
      </rPr>
      <t xml:space="preserve">, </t>
    </r>
    <r>
      <rPr>
        <sz val="11"/>
        <color theme="9" tint="-0.249977111117893"/>
        <rFont val="Rockwell"/>
        <family val="1"/>
        <scheme val="minor"/>
      </rPr>
      <t xml:space="preserve">A2&gt; 70, "C", </t>
    </r>
    <r>
      <rPr>
        <sz val="11"/>
        <color theme="6" tint="-0.249977111117893"/>
        <rFont val="Rockwell"/>
        <family val="1"/>
        <scheme val="minor"/>
      </rPr>
      <t>TRUE, "Fail"</t>
    </r>
    <r>
      <rPr>
        <sz val="11"/>
        <color theme="1"/>
        <rFont val="Rockwell"/>
        <family val="2"/>
        <scheme val="minor"/>
      </rPr>
      <t xml:space="preserve"> )</t>
    </r>
  </si>
  <si>
    <t>functions that return TRUE or FALSE</t>
  </si>
  <si>
    <t>AND</t>
  </si>
  <si>
    <t>OR</t>
  </si>
  <si>
    <t>invert karo</t>
  </si>
  <si>
    <t>NOT()</t>
  </si>
  <si>
    <t>Truth Tables</t>
  </si>
  <si>
    <t>one input</t>
  </si>
  <si>
    <t>two inputs - Both conditions should be TRUE</t>
  </si>
  <si>
    <t>two inputs - One of the conditions should be TRUE</t>
  </si>
  <si>
    <t>x</t>
  </si>
  <si>
    <t>y</t>
  </si>
  <si>
    <t>" + "</t>
  </si>
  <si>
    <t>" * "</t>
  </si>
  <si>
    <t>AND(condition1, condition2)</t>
  </si>
  <si>
    <t>OR(condition1, condition2)</t>
  </si>
  <si>
    <t>Only those people with attendence higher than 90 and marks higher than 80</t>
  </si>
  <si>
    <t>AND is giving TRUE when both conditions are TRUE</t>
  </si>
  <si>
    <t>if any condition is false, then it will return FALSE</t>
  </si>
  <si>
    <t>marks</t>
  </si>
  <si>
    <t>subject</t>
  </si>
  <si>
    <t>physics</t>
  </si>
  <si>
    <t>biology</t>
  </si>
  <si>
    <t>drawing</t>
  </si>
  <si>
    <t>coding</t>
  </si>
  <si>
    <t>maths</t>
  </si>
  <si>
    <t>Eligiblity</t>
  </si>
  <si>
    <t>Text Functions</t>
  </si>
  <si>
    <t>are used to clean or transform or format</t>
  </si>
  <si>
    <t>join two string (text/words)</t>
  </si>
  <si>
    <t>CONCAT:</t>
  </si>
  <si>
    <t>Hello</t>
  </si>
  <si>
    <t>without delimiters - space, comma</t>
  </si>
  <si>
    <t>function</t>
  </si>
  <si>
    <t>joins two strings, with a delimiter</t>
  </si>
  <si>
    <t xml:space="preserve">&amp; </t>
  </si>
  <si>
    <t xml:space="preserve"> ampersand - joins text as it is</t>
  </si>
  <si>
    <t>TEXTJOIN:</t>
  </si>
  <si>
    <t>concatenate</t>
  </si>
  <si>
    <t>LEFT</t>
  </si>
  <si>
    <t>RIGHT</t>
  </si>
  <si>
    <t>MID</t>
  </si>
  <si>
    <t>LEN</t>
  </si>
  <si>
    <t>TRIM</t>
  </si>
  <si>
    <t>Excel Tips</t>
  </si>
  <si>
    <t xml:space="preserve">extract characters from start </t>
  </si>
  <si>
    <t>ACB-1223-US</t>
  </si>
  <si>
    <t>extracts from the middle</t>
  </si>
  <si>
    <t>dfg-1223-US</t>
  </si>
  <si>
    <t>hth-1223-US</t>
  </si>
  <si>
    <t>fdg-3454-US</t>
  </si>
  <si>
    <t>dsa-1223-US</t>
  </si>
  <si>
    <t>extracts from the end</t>
  </si>
  <si>
    <t>data.xlsx</t>
  </si>
  <si>
    <t>returns the number of characters in text</t>
  </si>
  <si>
    <t>extra spaces removal</t>
  </si>
  <si>
    <t>it leaves single space between words</t>
  </si>
  <si>
    <t>!#Idr    ees</t>
  </si>
  <si>
    <t xml:space="preserve">excel               tips     </t>
  </si>
  <si>
    <t>UPPER()</t>
  </si>
  <si>
    <t>LOWER()</t>
  </si>
  <si>
    <t>PROPER()</t>
  </si>
  <si>
    <t xml:space="preserve">HellO IDrees </t>
  </si>
  <si>
    <t>HellO Idrees</t>
  </si>
  <si>
    <t>HellO IDrees</t>
  </si>
  <si>
    <t>converts text into UPPERCASE</t>
  </si>
  <si>
    <t>converts text into lowercase</t>
  </si>
  <si>
    <t>capitalizes first letters</t>
  </si>
  <si>
    <t>FIND()</t>
  </si>
  <si>
    <t>returns position of character in text</t>
  </si>
  <si>
    <t>if it does not find, throws VALUE error</t>
  </si>
  <si>
    <t>case - sensetive</t>
  </si>
  <si>
    <t>DATE TIME Functions</t>
  </si>
  <si>
    <t>pattern of characters too</t>
  </si>
  <si>
    <t>Date Functions</t>
  </si>
  <si>
    <t>TODAY()</t>
  </si>
  <si>
    <t>NOW()</t>
  </si>
  <si>
    <t>DATE()</t>
  </si>
  <si>
    <t>DATEDIF()</t>
  </si>
  <si>
    <t>creates a date using - year, month, day</t>
  </si>
  <si>
    <t>calculate difference between two dates</t>
  </si>
  <si>
    <t>Excel stores dates as serial numbers</t>
  </si>
  <si>
    <t>date</t>
  </si>
  <si>
    <t>time</t>
  </si>
  <si>
    <t>TODAY() gives the current Date</t>
  </si>
  <si>
    <t>NOW() - gives current date time</t>
  </si>
  <si>
    <t>dynamic - changes</t>
  </si>
  <si>
    <t>static</t>
  </si>
  <si>
    <t>Ctrl + ;</t>
  </si>
  <si>
    <t>Ctrl + Shift + ;</t>
  </si>
  <si>
    <t>Current Date - static</t>
  </si>
  <si>
    <t>Current Time - static</t>
  </si>
  <si>
    <t>TEXT(date, format)</t>
  </si>
  <si>
    <t>formats a date in our given format</t>
  </si>
  <si>
    <t>date - dd- mm- yyyy</t>
  </si>
  <si>
    <t>TEXT(C40,"dd/mm/yyyy" )</t>
  </si>
  <si>
    <t>mmm</t>
  </si>
  <si>
    <t>Jan</t>
  </si>
  <si>
    <t>dd- mmm- yyyy</t>
  </si>
  <si>
    <t>dd- mmmm- yyyy</t>
  </si>
  <si>
    <t>mmmm</t>
  </si>
  <si>
    <t>January</t>
  </si>
  <si>
    <t>dd</t>
  </si>
  <si>
    <t>ddd</t>
  </si>
  <si>
    <t>Wed</t>
  </si>
  <si>
    <t>dddd</t>
  </si>
  <si>
    <t>Wednesday</t>
  </si>
  <si>
    <t>hh:mm:ss</t>
  </si>
  <si>
    <t>return the current date - from our PC</t>
  </si>
  <si>
    <t>returns current date and time - from our PC</t>
  </si>
  <si>
    <t>HOUR()</t>
  </si>
  <si>
    <t>MINUTE()</t>
  </si>
  <si>
    <t>Day()</t>
  </si>
  <si>
    <t xml:space="preserve">EXAMPLE: </t>
  </si>
  <si>
    <t>task a</t>
  </si>
  <si>
    <t>task b</t>
  </si>
  <si>
    <t>task c</t>
  </si>
  <si>
    <t>task d</t>
  </si>
  <si>
    <t>task e</t>
  </si>
  <si>
    <t>Deadlines</t>
  </si>
  <si>
    <t>Days Remaning</t>
  </si>
  <si>
    <t>Deadline Calculator</t>
  </si>
  <si>
    <t>D53 - TODAY()</t>
  </si>
  <si>
    <t>Age Calculator</t>
  </si>
  <si>
    <t>Hritik</t>
  </si>
  <si>
    <t>Manab</t>
  </si>
  <si>
    <t>Waseem</t>
  </si>
  <si>
    <t>DOB</t>
  </si>
  <si>
    <t>Age(years)</t>
  </si>
  <si>
    <t>Datedif()</t>
  </si>
  <si>
    <t>Datedif(start_date, end_date, unit)</t>
  </si>
  <si>
    <t xml:space="preserve">unit: </t>
  </si>
  <si>
    <t>"D"</t>
  </si>
  <si>
    <t>"M"</t>
  </si>
  <si>
    <t>"YD"</t>
  </si>
  <si>
    <t>"YM"</t>
  </si>
  <si>
    <t>"MD"</t>
  </si>
  <si>
    <t>"Y"</t>
  </si>
  <si>
    <t>days between dates</t>
  </si>
  <si>
    <t>months between</t>
  </si>
  <si>
    <t>years between</t>
  </si>
  <si>
    <t>diffence in days, ignoring months/years</t>
  </si>
  <si>
    <t>diffence in months, ignoring days/years</t>
  </si>
  <si>
    <t>differnce in days ignoring years</t>
  </si>
  <si>
    <t>DATEDIF(D63,TODAY(), "Y")</t>
  </si>
  <si>
    <t>Datedif(1/1/2026,"12/09/2026","D")</t>
  </si>
  <si>
    <t>TEXT(TODAY(),"dddd, mmmm dd, yyyy")</t>
  </si>
  <si>
    <t>TEXT(NOW(),"hh:mm:ss AM/PM</t>
  </si>
  <si>
    <r>
      <rPr>
        <sz val="11"/>
        <color theme="4"/>
        <rFont val="Rockwell"/>
        <family val="1"/>
        <scheme val="minor"/>
      </rPr>
      <t>"Today is "</t>
    </r>
    <r>
      <rPr>
        <sz val="11"/>
        <color theme="1"/>
        <rFont val="Rockwell"/>
        <family val="2"/>
        <scheme val="minor"/>
      </rPr>
      <t xml:space="preserve">      </t>
    </r>
    <r>
      <rPr>
        <b/>
        <sz val="11"/>
        <color theme="9"/>
        <rFont val="Rockwell"/>
        <family val="1"/>
        <scheme val="minor"/>
      </rPr>
      <t xml:space="preserve">&amp; </t>
    </r>
    <r>
      <rPr>
        <sz val="11"/>
        <color theme="1"/>
        <rFont val="Rockwell"/>
        <family val="2"/>
        <scheme val="minor"/>
      </rPr>
      <t xml:space="preserve">     </t>
    </r>
    <r>
      <rPr>
        <b/>
        <sz val="11"/>
        <color theme="1"/>
        <rFont val="Rockwell"/>
        <family val="1"/>
        <scheme val="minor"/>
      </rPr>
      <t xml:space="preserve">TEXT(TODAY(),"dddd, mmmm dd, yyyy")    </t>
    </r>
    <r>
      <rPr>
        <b/>
        <sz val="11"/>
        <color theme="9"/>
        <rFont val="Rockwell"/>
        <family val="1"/>
        <scheme val="minor"/>
      </rPr>
      <t>&amp;</t>
    </r>
    <r>
      <rPr>
        <sz val="11"/>
        <color theme="1"/>
        <rFont val="Rockwell"/>
        <family val="2"/>
        <scheme val="minor"/>
      </rPr>
      <t xml:space="preserve">     </t>
    </r>
    <r>
      <rPr>
        <sz val="11"/>
        <color theme="4"/>
        <rFont val="Rockwell"/>
        <family val="1"/>
        <scheme val="minor"/>
      </rPr>
      <t>" and the current time is "</t>
    </r>
    <r>
      <rPr>
        <sz val="11"/>
        <color theme="1"/>
        <rFont val="Rockwell"/>
        <family val="2"/>
        <scheme val="minor"/>
      </rPr>
      <t xml:space="preserve">   </t>
    </r>
    <r>
      <rPr>
        <b/>
        <sz val="11"/>
        <color theme="9"/>
        <rFont val="Rockwell"/>
        <family val="1"/>
        <scheme val="minor"/>
      </rPr>
      <t xml:space="preserve"> &amp;</t>
    </r>
    <r>
      <rPr>
        <sz val="11"/>
        <color theme="1"/>
        <rFont val="Rockwell"/>
        <family val="2"/>
        <scheme val="minor"/>
      </rPr>
      <t xml:space="preserve">    </t>
    </r>
    <r>
      <rPr>
        <b/>
        <sz val="11"/>
        <color theme="1"/>
        <rFont val="Rockwell"/>
        <family val="1"/>
        <scheme val="minor"/>
      </rPr>
      <t>TEXT(NOW(),"hh:mm:ss AM/PM")</t>
    </r>
  </si>
  <si>
    <t>returns text/strings</t>
  </si>
  <si>
    <t>WORKDAY(start_date, days, [holidays])</t>
  </si>
  <si>
    <t>used to calculate a date that is a certain number of workdays</t>
  </si>
  <si>
    <t>before or after a given date</t>
  </si>
  <si>
    <t>workdays exclude Sunday, Saturday, or holiday which we can provide</t>
  </si>
  <si>
    <t>workday after 10 days</t>
  </si>
  <si>
    <t>WORKDAY(C94, 10, {"24/09/2026"})</t>
  </si>
  <si>
    <t>24 is a holiday</t>
  </si>
  <si>
    <t>28 is a holiday</t>
  </si>
  <si>
    <t>NOT</t>
  </si>
  <si>
    <t>Age in years, months, days</t>
  </si>
  <si>
    <t>Category</t>
  </si>
  <si>
    <t>Units sold</t>
  </si>
  <si>
    <t>Region</t>
  </si>
  <si>
    <t>Revenue</t>
  </si>
  <si>
    <t>Laptop</t>
  </si>
  <si>
    <t>Electronics</t>
  </si>
  <si>
    <t>North</t>
  </si>
  <si>
    <t>Tablet</t>
  </si>
  <si>
    <t>South</t>
  </si>
  <si>
    <t>Smartphone</t>
  </si>
  <si>
    <t>East</t>
  </si>
  <si>
    <t>Desktop</t>
  </si>
  <si>
    <t>West</t>
  </si>
  <si>
    <t>Monitor</t>
  </si>
  <si>
    <t>Accessories</t>
  </si>
  <si>
    <t>Keyboard</t>
  </si>
  <si>
    <t>Mouse</t>
  </si>
  <si>
    <t>Printer</t>
  </si>
  <si>
    <t>Scanner</t>
  </si>
  <si>
    <t>Camera</t>
  </si>
  <si>
    <t>Lookup Functions</t>
  </si>
  <si>
    <t>help us to retrieve data from a table or a range</t>
  </si>
  <si>
    <t>VLOOKUP</t>
  </si>
  <si>
    <t>search down for a value in the first column of a range/table</t>
  </si>
  <si>
    <t xml:space="preserve">VLOOKUP(lookup_value, table_array, col_index_num, [range_lookup] </t>
  </si>
  <si>
    <r>
      <t xml:space="preserve">What is the exact </t>
    </r>
    <r>
      <rPr>
        <b/>
        <sz val="11"/>
        <color theme="1"/>
        <rFont val="Rockwell"/>
        <family val="1"/>
        <scheme val="minor"/>
      </rPr>
      <t>price</t>
    </r>
    <r>
      <rPr>
        <sz val="11"/>
        <color theme="1"/>
        <rFont val="Rockwell"/>
        <family val="2"/>
        <scheme val="minor"/>
      </rPr>
      <t xml:space="preserve"> of a </t>
    </r>
    <r>
      <rPr>
        <b/>
        <sz val="11"/>
        <color theme="1"/>
        <rFont val="Rockwell"/>
        <family val="1"/>
        <scheme val="minor"/>
      </rPr>
      <t>Desktop</t>
    </r>
    <r>
      <rPr>
        <sz val="11"/>
        <color theme="1"/>
        <rFont val="Rockwell"/>
        <family val="2"/>
        <scheme val="minor"/>
      </rPr>
      <t>?</t>
    </r>
  </si>
  <si>
    <t>VLOOKUP("Desktop", L7:Q17, 3, FALSE)</t>
  </si>
  <si>
    <t>arguments to the function:</t>
  </si>
  <si>
    <t>lookup_value</t>
  </si>
  <si>
    <t>table_array</t>
  </si>
  <si>
    <t>col_index_num</t>
  </si>
  <si>
    <t>range_lookup</t>
  </si>
  <si>
    <t>value to be found</t>
  </si>
  <si>
    <t>table from which data is to be retrived</t>
  </si>
  <si>
    <t>column number of the matching value</t>
  </si>
  <si>
    <t>FALSE - for exact match</t>
  </si>
  <si>
    <t>What is the units sold for Monitor?</t>
  </si>
  <si>
    <t>Units Sold</t>
  </si>
  <si>
    <t>Camerat</t>
  </si>
  <si>
    <t>TRUE - for approximate match - First column should be sorted</t>
  </si>
  <si>
    <t>HLOOKUP</t>
  </si>
  <si>
    <t xml:space="preserve">Horizontal Lookup </t>
  </si>
  <si>
    <t>we search for values in the first row</t>
  </si>
  <si>
    <t>Limitations:</t>
  </si>
  <si>
    <t>1. Values must be in the first row / column</t>
  </si>
  <si>
    <t>2. inserting/deleting can change indexes</t>
  </si>
  <si>
    <t>3. We only go left to right or top to bottom</t>
  </si>
  <si>
    <t>4. return errors when value is not found N/A</t>
  </si>
  <si>
    <t>Index - Match</t>
  </si>
  <si>
    <t>INDEX</t>
  </si>
  <si>
    <t>INDEX(H89:M99, 2, 2)</t>
  </si>
  <si>
    <t>MATCH</t>
  </si>
  <si>
    <t>MATCH("Electronics", H92:M92, 0)</t>
  </si>
  <si>
    <r>
      <t xml:space="preserve">Returns the </t>
    </r>
    <r>
      <rPr>
        <b/>
        <sz val="11"/>
        <color theme="1"/>
        <rFont val="Rockwell"/>
        <family val="1"/>
        <scheme val="minor"/>
      </rPr>
      <t>value</t>
    </r>
    <r>
      <rPr>
        <sz val="11"/>
        <color theme="1"/>
        <rFont val="Rockwell"/>
        <family val="2"/>
        <scheme val="minor"/>
      </rPr>
      <t xml:space="preserve"> of a cell in a specified row and column</t>
    </r>
  </si>
  <si>
    <r>
      <t xml:space="preserve">Return the </t>
    </r>
    <r>
      <rPr>
        <b/>
        <sz val="11"/>
        <color theme="1"/>
        <rFont val="Rockwell"/>
        <family val="1"/>
        <scheme val="minor"/>
      </rPr>
      <t>relative position</t>
    </r>
    <r>
      <rPr>
        <sz val="11"/>
        <color theme="1"/>
        <rFont val="Rockwell"/>
        <family val="2"/>
        <scheme val="minor"/>
      </rPr>
      <t xml:space="preserve"> of  a value</t>
    </r>
  </si>
  <si>
    <t>tell me the price of monitor</t>
  </si>
  <si>
    <t>INDEX(J89:J99, MATCH("Monitor",H89:H99, 0))</t>
  </si>
  <si>
    <t>array - table, column, row</t>
  </si>
  <si>
    <t>column, row</t>
  </si>
  <si>
    <t>select a column,</t>
  </si>
  <si>
    <t>which row we land on</t>
  </si>
  <si>
    <t>index karo Price ko</t>
  </si>
  <si>
    <t>Match karo Product se</t>
  </si>
  <si>
    <t>XLOOKUP</t>
  </si>
  <si>
    <t>check units sold for Printer</t>
  </si>
  <si>
    <t>XLOOKUP(B122,$G$119:$G$129,$J$119:$J$129, "Not Found")</t>
  </si>
  <si>
    <t>tell me the revenue made on these items</t>
  </si>
  <si>
    <t>products</t>
  </si>
  <si>
    <t>revenue</t>
  </si>
  <si>
    <t>HLOOKUP(G74, $A$63:$K$68, 4, FALSE)</t>
  </si>
  <si>
    <t>INDEX(I89:I99,2)</t>
  </si>
  <si>
    <t>lookup_value, lookup_array, target_array,</t>
  </si>
  <si>
    <r>
      <t xml:space="preserve">VLOOKUP(C37, $L$7:$Q$17, </t>
    </r>
    <r>
      <rPr>
        <b/>
        <sz val="11"/>
        <color theme="1"/>
        <rFont val="Rockwell"/>
        <family val="1"/>
        <scheme val="minor"/>
      </rPr>
      <t xml:space="preserve">{3,4,5} </t>
    </r>
    <r>
      <rPr>
        <sz val="11"/>
        <color theme="1"/>
        <rFont val="Rockwell"/>
        <family val="2"/>
        <scheme val="minor"/>
      </rPr>
      <t>, FALSE)</t>
    </r>
  </si>
  <si>
    <t>Conditionals</t>
  </si>
  <si>
    <t>Real world calcualtions</t>
  </si>
  <si>
    <t>SUMIF</t>
  </si>
  <si>
    <t>COUNTIF</t>
  </si>
  <si>
    <t>SUMPRODUCT</t>
  </si>
  <si>
    <t>Total units sold for electronics</t>
  </si>
  <si>
    <t>Statistical, Math Functions</t>
  </si>
  <si>
    <t>MEDIAN</t>
  </si>
  <si>
    <t>STDEV.S</t>
  </si>
  <si>
    <t>middle value of data</t>
  </si>
  <si>
    <t>most frequent</t>
  </si>
  <si>
    <t>Data variation</t>
  </si>
  <si>
    <t>MODE</t>
  </si>
  <si>
    <t>ROUND</t>
  </si>
  <si>
    <t>POWER</t>
  </si>
  <si>
    <t>ABSOLUTE</t>
  </si>
  <si>
    <t>Financial Functions</t>
  </si>
  <si>
    <t>Payment</t>
  </si>
  <si>
    <t>Calculate loan EMI</t>
  </si>
  <si>
    <t>Loan</t>
  </si>
  <si>
    <t>PMT(10%/12, 5 *12, - F172</t>
  </si>
  <si>
    <t>nper - number of periods</t>
  </si>
  <si>
    <t>PMT(rate, nper, amount</t>
  </si>
  <si>
    <t>IFERROR</t>
  </si>
  <si>
    <t>IFERROR: Used to handle error</t>
  </si>
  <si>
    <t>Rohit</t>
  </si>
  <si>
    <t xml:space="preserve">Error Handling - </t>
  </si>
  <si>
    <t>IFERROR(C183/D183, "invalid Operation"</t>
  </si>
  <si>
    <t>Profit</t>
  </si>
  <si>
    <t>Profit Price Ratio</t>
  </si>
  <si>
    <t>Profit Price Ratio Error Handling</t>
  </si>
  <si>
    <t>IFNA</t>
  </si>
  <si>
    <t>IFNA(D201, "Error")</t>
  </si>
  <si>
    <t>Use ifna to handle #N/A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</si>
</sst>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_ [$₹-4009]\ * #,##0.00_ ;_ [$₹-4009]\ * \-#,##0.00_ ;_ [$₹-4009]\ * &quot;-&quot;??_ ;_ @_ "/>
    <numFmt numFmtId="165" formatCode="[$-14009]dd/mm/yyyy;@"/>
    <numFmt numFmtId="166" formatCode="[$-F400]h:mm:ss\ AM/PM"/>
    <numFmt numFmtId="167" formatCode="[$-10409]hh:mm\ AM/PM;@"/>
  </numFmts>
  <fonts count="37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b/>
      <sz val="11"/>
      <color theme="1"/>
      <name val="Rockwell"/>
      <family val="2"/>
      <scheme val="minor"/>
    </font>
    <font>
      <b/>
      <sz val="20"/>
      <color theme="1"/>
      <name val="Rockwell"/>
      <family val="2"/>
      <scheme val="minor"/>
    </font>
    <font>
      <b/>
      <sz val="14"/>
      <color theme="1"/>
      <name val="Rockwel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Rockwell"/>
      <family val="2"/>
      <scheme val="minor"/>
    </font>
    <font>
      <b/>
      <sz val="11"/>
      <color theme="1"/>
      <name val="Rockwell"/>
      <family val="1"/>
      <scheme val="minor"/>
    </font>
    <font>
      <b/>
      <sz val="10"/>
      <color theme="7" tint="-0.249977111117893"/>
      <name val="Aptos"/>
      <family val="2"/>
    </font>
    <font>
      <sz val="11"/>
      <color theme="1"/>
      <name val="Rockwell"/>
      <family val="1"/>
      <scheme val="minor"/>
    </font>
    <font>
      <b/>
      <sz val="9"/>
      <color theme="7" tint="-0.249977111117893"/>
      <name val="Aptos"/>
      <family val="2"/>
    </font>
    <font>
      <b/>
      <sz val="8"/>
      <color theme="7" tint="-0.249977111117893"/>
      <name val="Aptos"/>
      <family val="2"/>
    </font>
    <font>
      <sz val="11"/>
      <color theme="7" tint="-0.249977111117893"/>
      <name val="Rockwell"/>
      <family val="1"/>
      <scheme val="minor"/>
    </font>
    <font>
      <sz val="11"/>
      <color theme="4" tint="0.39997558519241921"/>
      <name val="Rockwell"/>
      <family val="1"/>
      <scheme val="minor"/>
    </font>
    <font>
      <sz val="11"/>
      <color theme="9" tint="-0.249977111117893"/>
      <name val="Rockwell"/>
      <family val="1"/>
      <scheme val="minor"/>
    </font>
    <font>
      <sz val="11"/>
      <color theme="4"/>
      <name val="Rockwell"/>
      <family val="1"/>
      <scheme val="minor"/>
    </font>
    <font>
      <sz val="11"/>
      <color theme="6" tint="-0.249977111117893"/>
      <name val="Rockwell"/>
      <family val="1"/>
      <scheme val="minor"/>
    </font>
    <font>
      <b/>
      <sz val="9"/>
      <color theme="1"/>
      <name val="Rockwell"/>
      <family val="1"/>
      <scheme val="minor"/>
    </font>
    <font>
      <sz val="9"/>
      <color theme="1"/>
      <name val="Rockwell"/>
      <family val="2"/>
      <scheme val="minor"/>
    </font>
    <font>
      <b/>
      <sz val="16"/>
      <color theme="1"/>
      <name val="Rockwell"/>
      <family val="1"/>
      <scheme val="minor"/>
    </font>
    <font>
      <sz val="11"/>
      <color theme="1"/>
      <name val="Segoe UI"/>
      <family val="2"/>
    </font>
    <font>
      <sz val="11"/>
      <color rgb="FF000000"/>
      <name val="Rockwell"/>
      <family val="1"/>
      <scheme val="minor"/>
    </font>
    <font>
      <i/>
      <sz val="11"/>
      <color theme="1"/>
      <name val="Rockwell"/>
      <family val="1"/>
      <scheme val="minor"/>
    </font>
    <font>
      <i/>
      <sz val="11"/>
      <color theme="9"/>
      <name val="Rockwell"/>
      <family val="1"/>
      <scheme val="minor"/>
    </font>
    <font>
      <b/>
      <sz val="11"/>
      <color rgb="FF188038"/>
      <name val="Arial"/>
      <family val="2"/>
    </font>
    <font>
      <b/>
      <sz val="11"/>
      <color theme="9"/>
      <name val="Rockwell"/>
      <family val="1"/>
      <scheme val="minor"/>
    </font>
    <font>
      <sz val="8"/>
      <name val="Rockwell"/>
      <family val="2"/>
      <scheme val="minor"/>
    </font>
    <font>
      <b/>
      <sz val="14"/>
      <color theme="1"/>
      <name val="Rockwell"/>
      <family val="1"/>
      <scheme val="minor"/>
    </font>
    <font>
      <b/>
      <sz val="9"/>
      <color theme="9"/>
      <name val="Rockwell"/>
      <family val="1"/>
      <scheme val="minor"/>
    </font>
    <font>
      <sz val="11"/>
      <color theme="9"/>
      <name val="Rockwell"/>
      <family val="2"/>
      <scheme val="minor"/>
    </font>
    <font>
      <sz val="11"/>
      <color theme="4"/>
      <name val="Rockwell"/>
      <family val="2"/>
      <scheme val="minor"/>
    </font>
    <font>
      <sz val="8"/>
      <color rgb="FFF5F7FB"/>
      <name val="Segoe UI"/>
      <family val="2"/>
    </font>
    <font>
      <b/>
      <sz val="16"/>
      <name val="Rockwell"/>
      <family val="1"/>
      <scheme val="minor"/>
    </font>
    <font>
      <b/>
      <i/>
      <sz val="11"/>
      <color theme="1"/>
      <name val="Rockwell"/>
      <family val="1"/>
      <scheme val="minor"/>
    </font>
    <font>
      <sz val="16"/>
      <color theme="1"/>
      <name val="Rockwell"/>
      <family val="2"/>
      <scheme val="minor"/>
    </font>
    <font>
      <sz val="11"/>
      <color theme="8"/>
      <name val="Rockwel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0" fillId="0" borderId="0" xfId="1" applyFont="1"/>
    <xf numFmtId="0" fontId="0" fillId="3" borderId="0" xfId="0" applyFill="1"/>
    <xf numFmtId="0" fontId="0" fillId="3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7" fillId="0" borderId="0" xfId="0" applyFo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6" borderId="0" xfId="0" applyFill="1"/>
    <xf numFmtId="0" fontId="8" fillId="6" borderId="0" xfId="0" applyFont="1" applyFill="1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8" fillId="0" borderId="0" xfId="0" applyFont="1"/>
    <xf numFmtId="0" fontId="10" fillId="7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3" xfId="0" applyFill="1" applyBorder="1"/>
    <xf numFmtId="0" fontId="0" fillId="8" borderId="3" xfId="0" applyFill="1" applyBorder="1"/>
    <xf numFmtId="0" fontId="8" fillId="5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8" fillId="0" borderId="0" xfId="0" applyFont="1" applyAlignment="1"/>
    <xf numFmtId="0" fontId="19" fillId="0" borderId="0" xfId="0" applyFont="1"/>
    <xf numFmtId="0" fontId="0" fillId="0" borderId="0" xfId="0" applyFill="1"/>
    <xf numFmtId="14" fontId="0" fillId="0" borderId="0" xfId="0" applyNumberFormat="1"/>
    <xf numFmtId="20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center" vertical="center"/>
    </xf>
    <xf numFmtId="167" fontId="0" fillId="0" borderId="0" xfId="0" applyNumberFormat="1"/>
    <xf numFmtId="0" fontId="0" fillId="0" borderId="0" xfId="0" applyNumberFormat="1" applyAlignment="1">
      <alignment horizontal="center"/>
    </xf>
    <xf numFmtId="14" fontId="21" fillId="0" borderId="0" xfId="0" applyNumberFormat="1" applyFont="1"/>
    <xf numFmtId="0" fontId="21" fillId="0" borderId="0" xfId="0" applyNumberFormat="1" applyFont="1"/>
    <xf numFmtId="166" fontId="0" fillId="0" borderId="0" xfId="0" applyNumberFormat="1" applyAlignment="1">
      <alignment horizontal="center"/>
    </xf>
    <xf numFmtId="22" fontId="0" fillId="0" borderId="0" xfId="0" applyNumberFormat="1"/>
    <xf numFmtId="14" fontId="0" fillId="0" borderId="0" xfId="0" applyNumberFormat="1" applyAlignment="1">
      <alignment horizontal="center"/>
    </xf>
    <xf numFmtId="0" fontId="8" fillId="9" borderId="0" xfId="0" applyFont="1" applyFill="1" applyAlignment="1">
      <alignment horizontal="center"/>
    </xf>
    <xf numFmtId="0" fontId="0" fillId="0" borderId="3" xfId="0" applyBorder="1"/>
    <xf numFmtId="22" fontId="22" fillId="0" borderId="3" xfId="0" applyNumberFormat="1" applyFont="1" applyBorder="1" applyAlignment="1">
      <alignment horizontal="center" vertical="center" wrapText="1" readingOrder="1"/>
    </xf>
    <xf numFmtId="0" fontId="8" fillId="0" borderId="3" xfId="0" applyFont="1" applyBorder="1"/>
    <xf numFmtId="22" fontId="8" fillId="0" borderId="0" xfId="0" applyNumberFormat="1" applyFont="1"/>
    <xf numFmtId="14" fontId="0" fillId="0" borderId="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23" fillId="0" borderId="0" xfId="0" applyFont="1"/>
    <xf numFmtId="0" fontId="24" fillId="0" borderId="0" xfId="0" applyFont="1"/>
    <xf numFmtId="0" fontId="0" fillId="9" borderId="4" xfId="0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5" xfId="0" applyBorder="1"/>
    <xf numFmtId="14" fontId="0" fillId="0" borderId="7" xfId="0" applyNumberFormat="1" applyBorder="1" applyAlignment="1">
      <alignment horizontal="center"/>
    </xf>
    <xf numFmtId="0" fontId="19" fillId="0" borderId="6" xfId="0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9" fillId="0" borderId="0" xfId="0" applyFont="1" applyAlignment="1"/>
    <xf numFmtId="0" fontId="30" fillId="0" borderId="0" xfId="0" applyFont="1"/>
    <xf numFmtId="0" fontId="0" fillId="10" borderId="0" xfId="0" applyFill="1" applyAlignment="1">
      <alignment horizontal="center"/>
    </xf>
    <xf numFmtId="0" fontId="31" fillId="10" borderId="0" xfId="0" applyFont="1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32" fillId="0" borderId="0" xfId="0" applyFont="1"/>
    <xf numFmtId="0" fontId="8" fillId="11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11" borderId="9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10" xfId="0" applyFill="1" applyBorder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12" borderId="7" xfId="0" applyFill="1" applyBorder="1"/>
    <xf numFmtId="0" fontId="0" fillId="0" borderId="8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34" fillId="0" borderId="0" xfId="0" applyFont="1"/>
    <xf numFmtId="0" fontId="0" fillId="2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8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 applyBorder="1" applyAlignment="1"/>
    <xf numFmtId="0" fontId="0" fillId="0" borderId="0" xfId="0" applyFill="1" applyBorder="1"/>
    <xf numFmtId="0" fontId="11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28" fillId="6" borderId="0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20" fillId="6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8" fontId="0" fillId="0" borderId="0" xfId="0" applyNumberFormat="1"/>
    <xf numFmtId="0" fontId="36" fillId="0" borderId="0" xfId="0" applyFont="1"/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8.xml"/><Relationship Id="rId13" Type="http://schemas.openxmlformats.org/officeDocument/2006/relationships/image" Target="../media/image4.png"/><Relationship Id="rId18" Type="http://schemas.openxmlformats.org/officeDocument/2006/relationships/customXml" Target="../ink/ink14.xml"/><Relationship Id="rId3" Type="http://schemas.openxmlformats.org/officeDocument/2006/relationships/customXml" Target="../ink/ink3.xml"/><Relationship Id="rId21" Type="http://schemas.openxmlformats.org/officeDocument/2006/relationships/image" Target="../media/image8.png"/><Relationship Id="rId7" Type="http://schemas.openxmlformats.org/officeDocument/2006/relationships/customXml" Target="../ink/ink7.xml"/><Relationship Id="rId12" Type="http://schemas.openxmlformats.org/officeDocument/2006/relationships/customXml" Target="../ink/ink11.xml"/><Relationship Id="rId17" Type="http://schemas.openxmlformats.org/officeDocument/2006/relationships/image" Target="../media/image6.png"/><Relationship Id="rId2" Type="http://schemas.openxmlformats.org/officeDocument/2006/relationships/image" Target="../media/image2.png"/><Relationship Id="rId16" Type="http://schemas.openxmlformats.org/officeDocument/2006/relationships/customXml" Target="../ink/ink13.xml"/><Relationship Id="rId20" Type="http://schemas.openxmlformats.org/officeDocument/2006/relationships/customXml" Target="../ink/ink15.xml"/><Relationship Id="rId1" Type="http://schemas.openxmlformats.org/officeDocument/2006/relationships/customXml" Target="../ink/ink2.xml"/><Relationship Id="rId6" Type="http://schemas.openxmlformats.org/officeDocument/2006/relationships/customXml" Target="../ink/ink6.xml"/><Relationship Id="rId11" Type="http://schemas.openxmlformats.org/officeDocument/2006/relationships/image" Target="../media/image3.png"/><Relationship Id="rId5" Type="http://schemas.openxmlformats.org/officeDocument/2006/relationships/customXml" Target="../ink/ink5.xml"/><Relationship Id="rId15" Type="http://schemas.openxmlformats.org/officeDocument/2006/relationships/image" Target="../media/image5.png"/><Relationship Id="rId10" Type="http://schemas.openxmlformats.org/officeDocument/2006/relationships/customXml" Target="../ink/ink10.xml"/><Relationship Id="rId19" Type="http://schemas.openxmlformats.org/officeDocument/2006/relationships/image" Target="../media/image7.png"/><Relationship Id="rId4" Type="http://schemas.openxmlformats.org/officeDocument/2006/relationships/customXml" Target="../ink/ink4.xml"/><Relationship Id="rId9" Type="http://schemas.openxmlformats.org/officeDocument/2006/relationships/customXml" Target="../ink/ink9.xml"/><Relationship Id="rId14" Type="http://schemas.openxmlformats.org/officeDocument/2006/relationships/customXml" Target="../ink/ink12.xml"/><Relationship Id="rId22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576540</xdr:colOff>
      <xdr:row>41</xdr:row>
      <xdr:rowOff>61404</xdr:rowOff>
    </xdr:from>
    <xdr:to>
      <xdr:col>3</xdr:col>
      <xdr:colOff>586620</xdr:colOff>
      <xdr:row>41</xdr:row>
      <xdr:rowOff>64284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6FAC15E4-90E9-8932-9951-FD7964F39201}"/>
                </a:ext>
              </a:extLst>
            </xdr14:cNvPr>
            <xdr14:cNvContentPartPr/>
          </xdr14:nvContentPartPr>
          <xdr14:nvPr macro=""/>
          <xdr14:xfrm>
            <a:off x="4810680" y="7760917"/>
            <a:ext cx="20160" cy="2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6FAC15E4-90E9-8932-9951-FD7964F392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04560" y="7754797"/>
              <a:ext cx="32400" cy="15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635741</xdr:colOff>
      <xdr:row>29</xdr:row>
      <xdr:rowOff>157998</xdr:rowOff>
    </xdr:from>
    <xdr:to>
      <xdr:col>7</xdr:col>
      <xdr:colOff>638081</xdr:colOff>
      <xdr:row>30</xdr:row>
      <xdr:rowOff>2218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CF8D8C6-6EF5-7883-073F-8DF6588ACA3D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CF8D8C6-6EF5-7883-073F-8DF6588ACA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635741</xdr:colOff>
      <xdr:row>30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A45609F6-9824-4C9C-BE13-9DAD05FBBC31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A45609F6-9824-4C9C-BE13-9DAD05FBBC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31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1B3CDDFD-BABA-42D8-932C-065EBA8B4D3A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1B3CDDFD-BABA-42D8-932C-065EBA8B4D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32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38ADF334-A8FE-4717-84E2-25C302C27970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38ADF334-A8FE-4717-84E2-25C302C279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32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F1F5340B-993A-4487-82AF-2901E283546F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F1F5340B-993A-4487-82AF-2901E28354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33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DC6C534B-82BF-4BDB-B733-663E63845BE7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C6C534B-82BF-4BDB-B733-663E63845B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33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D8BCCF7C-89CE-4CB5-BB5C-05D781FAFD6B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D8BCCF7C-89CE-4CB5-BB5C-05D781FAFD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635741</xdr:colOff>
      <xdr:row>34</xdr:row>
      <xdr:rowOff>157998</xdr:rowOff>
    </xdr:from>
    <xdr:ext cx="234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076F702-2FFC-443C-B78A-FBC23087B78E}"/>
                </a:ext>
              </a:extLst>
            </xdr14:cNvPr>
            <xdr14:cNvContentPartPr/>
          </xdr14:nvContentPartPr>
          <xdr14:nvPr macro=""/>
          <xdr14:xfrm>
            <a:off x="12669951" y="5239750"/>
            <a:ext cx="4680" cy="176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076F702-2FFC-443C-B78A-FBC23087B7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663831" y="5233630"/>
              <a:ext cx="16920" cy="298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578512</xdr:colOff>
      <xdr:row>97</xdr:row>
      <xdr:rowOff>73068</xdr:rowOff>
    </xdr:from>
    <xdr:to>
      <xdr:col>4</xdr:col>
      <xdr:colOff>593272</xdr:colOff>
      <xdr:row>97</xdr:row>
      <xdr:rowOff>89268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B0E20670-CA1D-D9C9-E2E5-4AACB9055CDE}"/>
                </a:ext>
              </a:extLst>
            </xdr14:cNvPr>
            <xdr14:cNvContentPartPr/>
          </xdr14:nvContentPartPr>
          <xdr14:nvPr macro=""/>
          <xdr14:xfrm>
            <a:off x="3269160" y="16989468"/>
            <a:ext cx="14760" cy="1620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B0E20670-CA1D-D9C9-E2E5-4AACB9055CD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63186" y="16983348"/>
              <a:ext cx="26709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374615</xdr:colOff>
      <xdr:row>90</xdr:row>
      <xdr:rowOff>63572</xdr:rowOff>
    </xdr:from>
    <xdr:to>
      <xdr:col>10</xdr:col>
      <xdr:colOff>382175</xdr:colOff>
      <xdr:row>90</xdr:row>
      <xdr:rowOff>66812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CA54346F-678D-F623-E196-E11AED0961DA}"/>
                </a:ext>
              </a:extLst>
            </xdr14:cNvPr>
            <xdr14:cNvContentPartPr/>
          </xdr14:nvContentPartPr>
          <xdr14:nvPr macro=""/>
          <xdr14:xfrm>
            <a:off x="8683043" y="15745006"/>
            <a:ext cx="7560" cy="324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CA54346F-678D-F623-E196-E11AED0961D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676923" y="15738886"/>
              <a:ext cx="1980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366099</xdr:colOff>
      <xdr:row>142</xdr:row>
      <xdr:rowOff>77011</xdr:rowOff>
    </xdr:from>
    <xdr:to>
      <xdr:col>10</xdr:col>
      <xdr:colOff>371499</xdr:colOff>
      <xdr:row>142</xdr:row>
      <xdr:rowOff>83491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53B1E4CB-80D1-92EF-58C7-0FA3A1FCAA30}"/>
                </a:ext>
              </a:extLst>
            </xdr14:cNvPr>
            <xdr14:cNvContentPartPr/>
          </xdr14:nvContentPartPr>
          <xdr14:nvPr macro=""/>
          <xdr14:xfrm>
            <a:off x="8674527" y="24834128"/>
            <a:ext cx="5400" cy="6480"/>
          </xdr14:xfrm>
        </xdr:contentPart>
      </mc:Choice>
      <mc:Fallback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53B1E4CB-80D1-92EF-58C7-0FA3A1FCAA3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668407" y="24828008"/>
              <a:ext cx="1764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369699</xdr:colOff>
      <xdr:row>143</xdr:row>
      <xdr:rowOff>63070</xdr:rowOff>
    </xdr:from>
    <xdr:to>
      <xdr:col>10</xdr:col>
      <xdr:colOff>381219</xdr:colOff>
      <xdr:row>143</xdr:row>
      <xdr:rowOff>68110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3EA8D13A-9F05-6186-5E17-4F0F40848B58}"/>
                </a:ext>
              </a:extLst>
            </xdr14:cNvPr>
            <xdr14:cNvContentPartPr/>
          </xdr14:nvContentPartPr>
          <xdr14:nvPr macro=""/>
          <xdr14:xfrm>
            <a:off x="8678127" y="24993608"/>
            <a:ext cx="11520" cy="5040"/>
          </xdr14:xfrm>
        </xdr:contentPart>
      </mc:Choice>
      <mc:Fallback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3EA8D13A-9F05-6186-5E17-4F0F40848B5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672007" y="24987488"/>
              <a:ext cx="2376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373299</xdr:colOff>
      <xdr:row>144</xdr:row>
      <xdr:rowOff>95929</xdr:rowOff>
    </xdr:from>
    <xdr:to>
      <xdr:col>10</xdr:col>
      <xdr:colOff>377979</xdr:colOff>
      <xdr:row>144</xdr:row>
      <xdr:rowOff>98449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F181D91B-0FA1-07CF-ED6D-618A6BB9A88F}"/>
                </a:ext>
              </a:extLst>
            </xdr14:cNvPr>
            <xdr14:cNvContentPartPr/>
          </xdr14:nvContentPartPr>
          <xdr14:nvPr macro=""/>
          <xdr14:xfrm>
            <a:off x="8681727" y="25199888"/>
            <a:ext cx="4680" cy="2520"/>
          </xdr14:xfrm>
        </xdr:contentPart>
      </mc:Choice>
      <mc:Fallback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F181D91B-0FA1-07CF-ED6D-618A6BB9A88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675607" y="25193768"/>
              <a:ext cx="16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340539</xdr:colOff>
      <xdr:row>148</xdr:row>
      <xdr:rowOff>152487</xdr:rowOff>
    </xdr:from>
    <xdr:to>
      <xdr:col>10</xdr:col>
      <xdr:colOff>359979</xdr:colOff>
      <xdr:row>149</xdr:row>
      <xdr:rowOff>94626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DC971211-8D90-62F6-BAF7-993CC246774B}"/>
                </a:ext>
              </a:extLst>
            </xdr14:cNvPr>
            <xdr14:cNvContentPartPr/>
          </xdr14:nvContentPartPr>
          <xdr14:nvPr macro=""/>
          <xdr14:xfrm>
            <a:off x="8648967" y="25950128"/>
            <a:ext cx="19440" cy="115560"/>
          </xdr14:xfrm>
        </xdr:contentPart>
      </mc:Choice>
      <mc:Fallback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DC971211-8D90-62F6-BAF7-993CC246774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642958" y="25944008"/>
              <a:ext cx="31457" cy="1278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340539</xdr:colOff>
      <xdr:row>148</xdr:row>
      <xdr:rowOff>152487</xdr:rowOff>
    </xdr:from>
    <xdr:ext cx="19440" cy="115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1A0120B4-11A6-4AD3-A218-6016CC6A3590}"/>
                </a:ext>
              </a:extLst>
            </xdr14:cNvPr>
            <xdr14:cNvContentPartPr/>
          </xdr14:nvContentPartPr>
          <xdr14:nvPr macro=""/>
          <xdr14:xfrm>
            <a:off x="8648967" y="25950128"/>
            <a:ext cx="19440" cy="115560"/>
          </xdr14:xfrm>
        </xdr:contentPart>
      </mc:Choice>
      <mc:Fallback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1A0120B4-11A6-4AD3-A218-6016CC6A359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642847" y="25944008"/>
              <a:ext cx="31680" cy="127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06T04:59:3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1 172 0 0,'-8'2'180'0'0,"4"-2"-32"0"0,0 3-8 0 0,-7-3-8 0 0,-1 0-8 0 0,4 0-8 0 0,4 0-36 0 0,0 0-28 0 0,8 0-28 0 0,0 0-12 0 0,4 0-8 0 0,0 0-4 0 0,-8 2-612 0 0,-4-2 72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4:40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3T05:35:4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394 394 252 0 0,'3'10'108'0'0,"-9"-1"-56"0"0,6-1-40 0 0,-3 0-28 0 0,0-3-40 0 0,3-1-52 0 0,0 0-80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4:48:34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497 8 56 0 0,'0'0'260'0'0,"0"2"4"0"0,0 0-48 0 0,-3 2-16 0 0,6-2-24 0 0,-3 1-36 0 0,0-1-52 0 0,-6 0-36 0 0,0 2-4 0 0,-1 0-44 0 0,1 0-88 0 0,3 2-104 0 0,-3-3-112 0 0,-1 3-144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4:53:03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1897 895 132 0 0,'-7'-7'1074'0'0,"14"7"-804"0"0,3 1-1087 0 0,-7-3 198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5:06:39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1 200 0 0,'-2'6'2230'0'0,"2"-6"-2208"0"0,0 0 0 0 0,0 1 0 0 0,0-1 0 0 0,1 0 1 0 0,-1 1-1 0 0,0-1 0 0 0,0 0 0 0 0,0 0 0 0 0,0 1 0 0 0,0-1 1 0 0,0 0-1 0 0,0 1 0 0 0,0-1 0 0 0,1 0 0 0 0,-1 0 0 0 0,0 1 1 0 0,0-1-1 0 0,0 0 0 0 0,1 0 0 0 0,-1 1 0 0 0,0-1 1 0 0,0 0-1 0 0,1 0 0 0 0,-1 0 0 0 0,0 1 0 0 0,0-1 0 0 0,1 0 1 0 0,-1 0-1 0 0,0 0 0 0 0,1 0 0 0 0,-1 0 0 0 0,0 0 1 0 0,0 0-1 0 0,1 0 0 0 0,-1 1 0 0 0,0-1 0 0 0,1 0 0 0 0,-1-1 1 0 0,5 5-352 0 0,-4-4-165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5:06:39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0 240 0 0,'0'0'1028'0'0,"-3"0"328"0"0,0 0-476 0 0,3 2 48 0 0,0-4-768 0 0,3 2-16 0 0,0 0-148 0 0,0 2-96 0 0,0 0-152 0 0,3 0-196 0 0,-2 2-256 0 0,2-2-304 0 0,-3 0-136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5:06:40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5 752 0 0,'-3'1'1224'0'0,"0"-1"444"0"0,3-1-508 0 0,-3-1-776 0 0,3 0-308 0 0,3 2-112 0 0,0 0-888 0 0,-3 2-104 0 0,7-2-192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5:06:40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4 272 0 0,'-3'0'560'0'0,"9"-2"-700"0"0,-6 1-192 0 0</inkml:trace>
  <inkml:trace contextRef="#ctx0" brushRef="#br0" timeOffset="388.66">106 294 308 0 0,'0'-12'2611'0'0,"0"12"-2597"0"0,0 0 1 0 0,0 0 0 0 0,0 1 0 0 0,0-1 0 0 0,0 0 0 0 0,1 0 0 0 0,-1 0-1 0 0,0 0 1 0 0,0 0 0 0 0,0 0 0 0 0,0 0 0 0 0,1 0 0 0 0,-1 0-1 0 0,0 0 1 0 0,0 0 0 0 0,0 0 0 0 0,1 0 0 0 0,-1 0 0 0 0,0 0 0 0 0,0 0-1 0 0,0 0 1 0 0,1 0 0 0 0,-1 0 0 0 0,0 0 0 0 0,0 0 0 0 0,0 0-1 0 0,0 0 1 0 0,1 0 0 0 0,-1 0 0 0 0,0 0 0 0 0,0 0 0 0 0,0 0 0 0 0,0-1-1 0 0,1 1 1 0 0,-1 0 0 0 0,0 0 0 0 0,0 0 0 0 0,0 0 0 0 0,0 0-1 0 0,0-1 1 0 0,0 1 0 0 0,0 0 0 0 0,1 0 0 0 0,-1 0 0 0 0,0 0 0 0 0,0-1-1 0 0,0 1 1 0 0,0 0 0 0 0,0 0 0 0 0,0 0 0 0 0,0-1 0 0 0,0 1-1 0 0,0 0 1 0 0,0 0 0 0 0,0 0 0 0 0,0 0 0 0 0,0-1 0 0 0,0 1 0 0 0,0 0-1 0 0,0 0 1 0 0,0-1 0 0 0,8 5 87 0 0,-7-4-149 0 0,-1 1-1 0 0,1-1 1 0 0,-1 1-1 0 0,1-1 1 0 0,-1 1-1 0 0,1-1 1 0 0,-1 1-1 0 0,0-1 1 0 0,1 1-1 0 0,-1 0 1 0 0,0-1-1 0 0,1 1 1 0 0,-1 0 0 0 0,0-1-1 0 0,0 1 1 0 0,0 0-1 0 0,1-1 1 0 0,-1 1-1 0 0,0 0 1 0 0,0-1-1 0 0,0 1 1 0 0,0 0-1 0 0,0 0 1 0 0,0-1-1 0 0,0 1 1 0 0,-1 0-1 0 0,1-1 1 0 0,0 1 0 0 0,0 0-1 0 0,-1-1 1 0 0,1 1-1 0 0,0 0 1 0 0,-1-1-1 0 0,1 1 1 0 0,0-1-1 0 0,-1 1 1 0 0,1 0-1 0 0,-1-1 1 0 0,1 1-1 0 0,-1 0 1 0 0,-3 5-828 0 0,1 2-101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9T05:27:33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4 272 0 0,'-3'0'560'0'0,"9"-2"-700"0"0,-6 1-192 0 0</inkml:trace>
  <inkml:trace contextRef="#ctx0" brushRef="#br0" timeOffset="1">105 294 308 0 0,'0'-12'2611'0'0,"0"12"-2597"0"0,0 0 1 0 0,0 0 0 0 0,1 1 0 0 0,-1-1 0 0 0,0 0 0 0 0,0 0 0 0 0,0 0-1 0 0,0 0 1 0 0,1 0 0 0 0,-1 0 0 0 0,0 0 0 0 0,0 0 0 0 0,0 0-1 0 0,0 0 1 0 0,1 0 0 0 0,-1 0 0 0 0,0 0 0 0 0,0 0 0 0 0,0 0 0 0 0,1 0-1 0 0,-1 0 1 0 0,0 0 0 0 0,0 0 0 0 0,0 0 0 0 0,1 0 0 0 0,-1 0-1 0 0,0 0 1 0 0,0 0 0 0 0,0 0 0 0 0,0 0 0 0 0,1 0 0 0 0,-1 0 0 0 0,0-1-1 0 0,0 1 1 0 0,0 0 0 0 0,0 0 0 0 0,0 0 0 0 0,0 0 0 0 0,1 0-1 0 0,-1-1 1 0 0,0 1 0 0 0,0 0 0 0 0,0 0 0 0 0,0 0 0 0 0,0 0 0 0 0,0-1-1 0 0,0 1 1 0 0,0 0 0 0 0,0 0 0 0 0,0 0 0 0 0,0-1 0 0 0,0 1-1 0 0,0 0 1 0 0,0 0 0 0 0,0 0 0 0 0,0 0 0 0 0,0-1 0 0 0,0 1 0 0 0,0 0-1 0 0,0 0 1 0 0,0-1 0 0 0,8 5 87 0 0,-7-4-149 0 0,0 1-1 0 0,-1-1 1 0 0,1 1-1 0 0,-1-1 1 0 0,0 1-1 0 0,1-1 1 0 0,-1 1-1 0 0,1-1 1 0 0,-1 1-1 0 0,0 0 1 0 0,1-1-1 0 0,-1 1 1 0 0,0 0 0 0 0,0-1-1 0 0,1 1 1 0 0,-1 0-1 0 0,0-1 1 0 0,0 1-1 0 0,0 0 1 0 0,0-1-1 0 0,0 1 1 0 0,0 0-1 0 0,0 0 1 0 0,0-1-1 0 0,0 1 1 0 0,0 0-1 0 0,-1-1 1 0 0,1 1 0 0 0,0 0-1 0 0,0-1 1 0 0,-1 1-1 0 0,1 0 1 0 0,0-1-1 0 0,-1 1 1 0 0,1-1-1 0 0,0 1 1 0 0,-1 0-1 0 0,1-1 1 0 0,-1 1-1 0 0,0 0 1 0 0,-2 5-828 0 0,0 2-101 0 0</inkml:trace>
</inkml:ink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B4:B8"/>
  <sheetViews>
    <sheetView workbookViewId="0">
      <selection activeCell="F12" sqref="F12"/>
    </sheetView>
  </sheetViews>
  <sheetFormatPr defaultRowHeight="13.8" x14ac:dyDescent="0.25"/>
  <sheetData>
    <row r="4" spans="2:2" x14ac:dyDescent="0.25">
      <c r="B4" t="s">
        <v>6</v>
      </c>
    </row>
    <row r="6" spans="2:2" x14ac:dyDescent="0.25">
      <c r="B6" t="s">
        <v>21</v>
      </c>
    </row>
    <row r="8" spans="2:2" ht="14.4" x14ac:dyDescent="0.3">
      <c r="B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B10C-FF2B-4B2F-B316-136D4DB7CE76}">
  <sheetPr>
    <tabColor theme="9" tint="0.39997558519241921"/>
  </sheetPr>
  <dimension ref="B1:N39"/>
  <sheetViews>
    <sheetView topLeftCell="A27" zoomScale="115" zoomScaleNormal="115" workbookViewId="0">
      <selection activeCell="F42" sqref="F42"/>
    </sheetView>
  </sheetViews>
  <sheetFormatPr defaultRowHeight="13.8" x14ac:dyDescent="0.25"/>
  <sheetData>
    <row r="1" spans="2:14" ht="18" x14ac:dyDescent="0.25">
      <c r="B1" s="6"/>
      <c r="C1" s="6"/>
      <c r="D1" s="6"/>
      <c r="E1" s="6"/>
    </row>
    <row r="2" spans="2:14" ht="18" customHeight="1" x14ac:dyDescent="0.25">
      <c r="B2" s="108" t="s">
        <v>25</v>
      </c>
      <c r="C2" s="108"/>
      <c r="D2" s="108"/>
      <c r="E2" s="108"/>
    </row>
    <row r="3" spans="2:14" ht="14.4" customHeight="1" x14ac:dyDescent="0.25">
      <c r="B3" s="108"/>
      <c r="C3" s="108"/>
      <c r="D3" s="108"/>
      <c r="E3" s="108"/>
    </row>
    <row r="4" spans="2:14" x14ac:dyDescent="0.25">
      <c r="B4" s="5" t="s">
        <v>28</v>
      </c>
      <c r="C4" s="5" t="s">
        <v>34</v>
      </c>
      <c r="D4" s="5" t="s">
        <v>35</v>
      </c>
      <c r="E4" s="5" t="s">
        <v>36</v>
      </c>
    </row>
    <row r="5" spans="2:14" x14ac:dyDescent="0.25">
      <c r="B5" t="s">
        <v>29</v>
      </c>
      <c r="C5">
        <v>120</v>
      </c>
      <c r="D5">
        <v>2</v>
      </c>
      <c r="E5">
        <f xml:space="preserve"> C5 * D5</f>
        <v>240</v>
      </c>
    </row>
    <row r="6" spans="2:14" x14ac:dyDescent="0.25">
      <c r="B6" t="s">
        <v>30</v>
      </c>
      <c r="C6">
        <v>550</v>
      </c>
      <c r="D6">
        <v>1</v>
      </c>
      <c r="E6">
        <f t="shared" ref="E6:E9" si="0" xml:space="preserve"> C6 * D6</f>
        <v>550</v>
      </c>
    </row>
    <row r="7" spans="2:14" ht="14.4" customHeight="1" x14ac:dyDescent="0.25">
      <c r="B7" t="s">
        <v>31</v>
      </c>
      <c r="C7">
        <v>150</v>
      </c>
      <c r="D7">
        <v>2</v>
      </c>
      <c r="E7">
        <f t="shared" si="0"/>
        <v>300</v>
      </c>
      <c r="N7" s="7"/>
    </row>
    <row r="8" spans="2:14" ht="14.4" customHeight="1" x14ac:dyDescent="0.25">
      <c r="B8" t="s">
        <v>32</v>
      </c>
      <c r="C8">
        <v>100</v>
      </c>
      <c r="D8">
        <v>2</v>
      </c>
      <c r="E8">
        <f t="shared" si="0"/>
        <v>200</v>
      </c>
      <c r="N8" s="7"/>
    </row>
    <row r="9" spans="2:14" x14ac:dyDescent="0.25">
      <c r="B9" t="s">
        <v>33</v>
      </c>
      <c r="C9">
        <v>150</v>
      </c>
      <c r="D9">
        <v>1</v>
      </c>
      <c r="E9">
        <f t="shared" si="0"/>
        <v>150</v>
      </c>
    </row>
    <row r="14" spans="2:14" ht="14.4" customHeight="1" x14ac:dyDescent="0.25">
      <c r="B14" s="108" t="s">
        <v>26</v>
      </c>
      <c r="C14" s="108"/>
      <c r="D14" s="108"/>
      <c r="E14" s="108"/>
    </row>
    <row r="15" spans="2:14" ht="14.4" customHeight="1" x14ac:dyDescent="0.25">
      <c r="B15" s="108"/>
      <c r="C15" s="108"/>
      <c r="D15" s="108"/>
      <c r="E15" s="108"/>
    </row>
    <row r="16" spans="2:14" x14ac:dyDescent="0.25">
      <c r="B16" s="5" t="s">
        <v>47</v>
      </c>
      <c r="C16" s="5">
        <v>100</v>
      </c>
    </row>
    <row r="17" spans="2:12" x14ac:dyDescent="0.25">
      <c r="B17" s="5" t="s">
        <v>24</v>
      </c>
      <c r="C17" s="5" t="s">
        <v>45</v>
      </c>
      <c r="D17" s="5" t="s">
        <v>46</v>
      </c>
    </row>
    <row r="18" spans="2:12" x14ac:dyDescent="0.25">
      <c r="B18" t="s">
        <v>39</v>
      </c>
      <c r="C18">
        <v>85</v>
      </c>
      <c r="D18" s="8">
        <f>C18 / $C$16</f>
        <v>0.85</v>
      </c>
    </row>
    <row r="19" spans="2:12" x14ac:dyDescent="0.25">
      <c r="B19" t="s">
        <v>40</v>
      </c>
      <c r="C19">
        <v>62</v>
      </c>
      <c r="D19" s="8">
        <f t="shared" ref="D19:D23" si="1">C19 / $C$16</f>
        <v>0.62</v>
      </c>
    </row>
    <row r="20" spans="2:12" x14ac:dyDescent="0.25">
      <c r="B20" t="s">
        <v>41</v>
      </c>
      <c r="C20">
        <v>73</v>
      </c>
      <c r="D20" s="8">
        <f t="shared" si="1"/>
        <v>0.73</v>
      </c>
    </row>
    <row r="21" spans="2:12" x14ac:dyDescent="0.25">
      <c r="B21" t="s">
        <v>42</v>
      </c>
      <c r="C21">
        <v>93</v>
      </c>
      <c r="D21" s="8">
        <f t="shared" si="1"/>
        <v>0.93</v>
      </c>
    </row>
    <row r="22" spans="2:12" x14ac:dyDescent="0.25">
      <c r="B22" t="s">
        <v>43</v>
      </c>
      <c r="C22">
        <v>68</v>
      </c>
      <c r="D22" s="8">
        <f t="shared" si="1"/>
        <v>0.68</v>
      </c>
    </row>
    <row r="23" spans="2:12" x14ac:dyDescent="0.25">
      <c r="B23" t="s">
        <v>44</v>
      </c>
      <c r="C23">
        <v>75</v>
      </c>
      <c r="D23" s="8">
        <f t="shared" si="1"/>
        <v>0.75</v>
      </c>
    </row>
    <row r="26" spans="2:12" ht="14.4" customHeight="1" x14ac:dyDescent="0.25">
      <c r="B26" s="108" t="s">
        <v>27</v>
      </c>
      <c r="C26" s="108"/>
      <c r="D26" s="108"/>
      <c r="E26" s="108"/>
      <c r="F26" s="108"/>
    </row>
    <row r="27" spans="2:12" ht="14.4" customHeight="1" x14ac:dyDescent="0.25">
      <c r="B27" s="108"/>
      <c r="C27" s="108"/>
      <c r="D27" s="108"/>
      <c r="E27" s="108"/>
      <c r="F27" s="108"/>
    </row>
    <row r="28" spans="2:12" x14ac:dyDescent="0.25">
      <c r="C28" s="107" t="s">
        <v>48</v>
      </c>
      <c r="D28" s="107"/>
      <c r="E28" s="107"/>
      <c r="F28" s="107"/>
      <c r="G28" s="107"/>
      <c r="H28" s="107"/>
      <c r="I28" s="107"/>
      <c r="J28" s="107"/>
      <c r="K28" s="107"/>
      <c r="L28" s="107"/>
    </row>
    <row r="29" spans="2:12" x14ac:dyDescent="0.25">
      <c r="C29" s="9">
        <v>1</v>
      </c>
      <c r="D29" s="9">
        <v>2</v>
      </c>
      <c r="E29" s="9">
        <v>3</v>
      </c>
      <c r="F29" s="9">
        <v>4</v>
      </c>
      <c r="G29" s="9">
        <v>5</v>
      </c>
      <c r="H29" s="9">
        <v>6</v>
      </c>
      <c r="I29" s="9">
        <v>7</v>
      </c>
      <c r="J29" s="9">
        <v>8</v>
      </c>
      <c r="K29" s="9">
        <v>9</v>
      </c>
      <c r="L29" s="9">
        <v>10</v>
      </c>
    </row>
    <row r="30" spans="2:12" x14ac:dyDescent="0.25">
      <c r="B30" s="10">
        <v>1</v>
      </c>
      <c r="C30">
        <f t="shared" ref="C30:L39" si="2" xml:space="preserve"> $B30 * C$29</f>
        <v>1</v>
      </c>
      <c r="D30">
        <f t="shared" si="2"/>
        <v>2</v>
      </c>
      <c r="E30">
        <f t="shared" si="2"/>
        <v>3</v>
      </c>
      <c r="F30">
        <f t="shared" si="2"/>
        <v>4</v>
      </c>
      <c r="G30">
        <f t="shared" si="2"/>
        <v>5</v>
      </c>
      <c r="H30">
        <f t="shared" si="2"/>
        <v>6</v>
      </c>
      <c r="I30">
        <f t="shared" si="2"/>
        <v>7</v>
      </c>
      <c r="J30">
        <f t="shared" si="2"/>
        <v>8</v>
      </c>
      <c r="K30">
        <f t="shared" si="2"/>
        <v>9</v>
      </c>
      <c r="L30">
        <f t="shared" si="2"/>
        <v>10</v>
      </c>
    </row>
    <row r="31" spans="2:12" x14ac:dyDescent="0.25">
      <c r="B31" s="10">
        <v>2</v>
      </c>
      <c r="C31">
        <f t="shared" si="2"/>
        <v>2</v>
      </c>
      <c r="D31">
        <f t="shared" si="2"/>
        <v>4</v>
      </c>
      <c r="E31">
        <f t="shared" si="2"/>
        <v>6</v>
      </c>
      <c r="F31">
        <f t="shared" si="2"/>
        <v>8</v>
      </c>
      <c r="G31">
        <f t="shared" si="2"/>
        <v>10</v>
      </c>
      <c r="H31">
        <f t="shared" si="2"/>
        <v>12</v>
      </c>
      <c r="I31">
        <f t="shared" si="2"/>
        <v>14</v>
      </c>
      <c r="J31">
        <f t="shared" si="2"/>
        <v>16</v>
      </c>
      <c r="K31">
        <f t="shared" si="2"/>
        <v>18</v>
      </c>
      <c r="L31">
        <f t="shared" si="2"/>
        <v>20</v>
      </c>
    </row>
    <row r="32" spans="2:12" x14ac:dyDescent="0.25">
      <c r="B32" s="10">
        <v>3</v>
      </c>
      <c r="C32">
        <f t="shared" si="2"/>
        <v>3</v>
      </c>
      <c r="D32">
        <f t="shared" si="2"/>
        <v>6</v>
      </c>
      <c r="E32">
        <f t="shared" si="2"/>
        <v>9</v>
      </c>
      <c r="F32">
        <f t="shared" si="2"/>
        <v>12</v>
      </c>
      <c r="G32">
        <f t="shared" si="2"/>
        <v>15</v>
      </c>
      <c r="H32">
        <f t="shared" si="2"/>
        <v>18</v>
      </c>
      <c r="I32">
        <f t="shared" si="2"/>
        <v>21</v>
      </c>
      <c r="J32">
        <f t="shared" si="2"/>
        <v>24</v>
      </c>
      <c r="K32">
        <f t="shared" si="2"/>
        <v>27</v>
      </c>
      <c r="L32">
        <f t="shared" si="2"/>
        <v>30</v>
      </c>
    </row>
    <row r="33" spans="2:12" x14ac:dyDescent="0.25">
      <c r="B33" s="10">
        <v>4</v>
      </c>
      <c r="C33">
        <f t="shared" si="2"/>
        <v>4</v>
      </c>
      <c r="D33">
        <f t="shared" si="2"/>
        <v>8</v>
      </c>
      <c r="E33">
        <f t="shared" si="2"/>
        <v>12</v>
      </c>
      <c r="F33">
        <f t="shared" si="2"/>
        <v>16</v>
      </c>
      <c r="G33">
        <f t="shared" si="2"/>
        <v>20</v>
      </c>
      <c r="H33">
        <f t="shared" si="2"/>
        <v>24</v>
      </c>
      <c r="I33">
        <f t="shared" si="2"/>
        <v>28</v>
      </c>
      <c r="J33">
        <f t="shared" si="2"/>
        <v>32</v>
      </c>
      <c r="K33">
        <f t="shared" si="2"/>
        <v>36</v>
      </c>
      <c r="L33">
        <f t="shared" si="2"/>
        <v>40</v>
      </c>
    </row>
    <row r="34" spans="2:12" x14ac:dyDescent="0.25">
      <c r="B34" s="10">
        <v>5</v>
      </c>
      <c r="C34">
        <f t="shared" si="2"/>
        <v>5</v>
      </c>
      <c r="D34">
        <f t="shared" si="2"/>
        <v>10</v>
      </c>
      <c r="E34">
        <f t="shared" si="2"/>
        <v>15</v>
      </c>
      <c r="F34">
        <f t="shared" si="2"/>
        <v>20</v>
      </c>
      <c r="G34">
        <f t="shared" si="2"/>
        <v>25</v>
      </c>
      <c r="H34">
        <f t="shared" si="2"/>
        <v>30</v>
      </c>
      <c r="I34">
        <f t="shared" si="2"/>
        <v>35</v>
      </c>
      <c r="J34">
        <f t="shared" si="2"/>
        <v>40</v>
      </c>
      <c r="K34">
        <f t="shared" si="2"/>
        <v>45</v>
      </c>
      <c r="L34">
        <f t="shared" si="2"/>
        <v>50</v>
      </c>
    </row>
    <row r="35" spans="2:12" x14ac:dyDescent="0.25">
      <c r="B35" s="10">
        <v>6</v>
      </c>
      <c r="C35">
        <f t="shared" si="2"/>
        <v>6</v>
      </c>
      <c r="D35">
        <f t="shared" si="2"/>
        <v>12</v>
      </c>
      <c r="E35">
        <f t="shared" si="2"/>
        <v>18</v>
      </c>
      <c r="F35">
        <f t="shared" si="2"/>
        <v>24</v>
      </c>
      <c r="G35">
        <f t="shared" si="2"/>
        <v>30</v>
      </c>
      <c r="H35">
        <f t="shared" si="2"/>
        <v>36</v>
      </c>
      <c r="I35">
        <f t="shared" si="2"/>
        <v>42</v>
      </c>
      <c r="J35">
        <f t="shared" si="2"/>
        <v>48</v>
      </c>
      <c r="K35">
        <f t="shared" si="2"/>
        <v>54</v>
      </c>
      <c r="L35">
        <f t="shared" si="2"/>
        <v>60</v>
      </c>
    </row>
    <row r="36" spans="2:12" x14ac:dyDescent="0.25">
      <c r="B36" s="10">
        <v>7</v>
      </c>
      <c r="C36">
        <f t="shared" si="2"/>
        <v>7</v>
      </c>
      <c r="D36">
        <f t="shared" si="2"/>
        <v>14</v>
      </c>
      <c r="E36">
        <f t="shared" si="2"/>
        <v>21</v>
      </c>
      <c r="F36">
        <f t="shared" si="2"/>
        <v>28</v>
      </c>
      <c r="G36">
        <f t="shared" si="2"/>
        <v>35</v>
      </c>
      <c r="H36">
        <f t="shared" si="2"/>
        <v>42</v>
      </c>
      <c r="I36">
        <f t="shared" si="2"/>
        <v>49</v>
      </c>
      <c r="J36">
        <f t="shared" si="2"/>
        <v>56</v>
      </c>
      <c r="K36">
        <f t="shared" si="2"/>
        <v>63</v>
      </c>
      <c r="L36">
        <f t="shared" si="2"/>
        <v>70</v>
      </c>
    </row>
    <row r="37" spans="2:12" x14ac:dyDescent="0.25">
      <c r="B37" s="10">
        <v>8</v>
      </c>
      <c r="C37">
        <f t="shared" si="2"/>
        <v>8</v>
      </c>
      <c r="D37">
        <f t="shared" si="2"/>
        <v>16</v>
      </c>
      <c r="E37">
        <f t="shared" si="2"/>
        <v>24</v>
      </c>
      <c r="F37">
        <f t="shared" si="2"/>
        <v>32</v>
      </c>
      <c r="G37">
        <f t="shared" si="2"/>
        <v>40</v>
      </c>
      <c r="H37">
        <f t="shared" si="2"/>
        <v>48</v>
      </c>
      <c r="I37">
        <f t="shared" si="2"/>
        <v>56</v>
      </c>
      <c r="J37">
        <f t="shared" si="2"/>
        <v>64</v>
      </c>
      <c r="K37">
        <f t="shared" si="2"/>
        <v>72</v>
      </c>
      <c r="L37">
        <f t="shared" si="2"/>
        <v>80</v>
      </c>
    </row>
    <row r="38" spans="2:12" x14ac:dyDescent="0.25">
      <c r="B38" s="10">
        <v>9</v>
      </c>
      <c r="C38">
        <f t="shared" si="2"/>
        <v>9</v>
      </c>
      <c r="D38">
        <f t="shared" si="2"/>
        <v>18</v>
      </c>
      <c r="E38">
        <f t="shared" si="2"/>
        <v>27</v>
      </c>
      <c r="F38">
        <f t="shared" si="2"/>
        <v>36</v>
      </c>
      <c r="G38">
        <f t="shared" si="2"/>
        <v>45</v>
      </c>
      <c r="H38">
        <f t="shared" si="2"/>
        <v>54</v>
      </c>
      <c r="I38">
        <f t="shared" si="2"/>
        <v>63</v>
      </c>
      <c r="J38">
        <f t="shared" si="2"/>
        <v>72</v>
      </c>
      <c r="K38">
        <f t="shared" si="2"/>
        <v>81</v>
      </c>
      <c r="L38">
        <f t="shared" si="2"/>
        <v>90</v>
      </c>
    </row>
    <row r="39" spans="2:12" x14ac:dyDescent="0.25">
      <c r="B39" s="10">
        <v>10</v>
      </c>
      <c r="C39">
        <f t="shared" si="2"/>
        <v>10</v>
      </c>
      <c r="D39">
        <f t="shared" si="2"/>
        <v>20</v>
      </c>
      <c r="E39">
        <f t="shared" si="2"/>
        <v>30</v>
      </c>
      <c r="F39">
        <f t="shared" si="2"/>
        <v>40</v>
      </c>
      <c r="G39">
        <f t="shared" si="2"/>
        <v>50</v>
      </c>
      <c r="H39">
        <f t="shared" si="2"/>
        <v>60</v>
      </c>
      <c r="I39">
        <f t="shared" si="2"/>
        <v>70</v>
      </c>
      <c r="J39">
        <f t="shared" si="2"/>
        <v>80</v>
      </c>
      <c r="K39">
        <f t="shared" si="2"/>
        <v>90</v>
      </c>
      <c r="L39">
        <f t="shared" si="2"/>
        <v>100</v>
      </c>
    </row>
  </sheetData>
  <mergeCells count="4">
    <mergeCell ref="C28:L28"/>
    <mergeCell ref="B26:F27"/>
    <mergeCell ref="B2:E3"/>
    <mergeCell ref="B14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6CE3-D1BE-42B9-AE34-032AD0804C23}">
  <sheetPr>
    <tabColor theme="7" tint="0.39997558519241921"/>
  </sheetPr>
  <dimension ref="B3:M22"/>
  <sheetViews>
    <sheetView topLeftCell="A13" zoomScale="175" zoomScaleNormal="175" workbookViewId="0">
      <selection activeCell="E20" sqref="E20:F20"/>
    </sheetView>
  </sheetViews>
  <sheetFormatPr defaultRowHeight="13.8" x14ac:dyDescent="0.25"/>
  <cols>
    <col min="2" max="2" width="8.796875" customWidth="1"/>
    <col min="4" max="4" width="9.69921875" customWidth="1"/>
    <col min="5" max="5" width="8.796875" style="4"/>
  </cols>
  <sheetData>
    <row r="3" spans="2:13" ht="14.4" customHeight="1" x14ac:dyDescent="0.25">
      <c r="B3" s="111" t="s">
        <v>2</v>
      </c>
      <c r="C3" s="111"/>
      <c r="D3" s="111"/>
      <c r="E3" s="111" t="s">
        <v>3</v>
      </c>
      <c r="F3" s="111"/>
    </row>
    <row r="4" spans="2:13" ht="14.4" customHeight="1" x14ac:dyDescent="0.25">
      <c r="B4" s="111"/>
      <c r="C4" s="111"/>
      <c r="D4" s="111"/>
      <c r="E4" s="111"/>
      <c r="F4" s="111"/>
    </row>
    <row r="5" spans="2:13" x14ac:dyDescent="0.25">
      <c r="B5" s="113" t="s">
        <v>0</v>
      </c>
      <c r="C5" s="113"/>
      <c r="D5" s="113"/>
      <c r="E5" s="113" t="s">
        <v>1</v>
      </c>
      <c r="F5" s="113"/>
      <c r="I5" s="2"/>
      <c r="J5" s="2"/>
      <c r="K5" s="2"/>
      <c r="L5" s="2"/>
      <c r="M5" s="2"/>
    </row>
    <row r="6" spans="2:13" x14ac:dyDescent="0.25">
      <c r="B6" s="113" t="s">
        <v>5</v>
      </c>
      <c r="C6" s="113"/>
      <c r="D6" s="113"/>
      <c r="E6" s="113" t="s">
        <v>4</v>
      </c>
      <c r="F6" s="113"/>
      <c r="I6" s="2"/>
      <c r="J6" s="2"/>
      <c r="K6" s="2"/>
      <c r="L6" s="2"/>
      <c r="M6" s="2"/>
    </row>
    <row r="7" spans="2:13" x14ac:dyDescent="0.25">
      <c r="B7" s="112" t="s">
        <v>8</v>
      </c>
      <c r="C7" s="112"/>
      <c r="D7" s="112"/>
      <c r="E7" s="113" t="s">
        <v>7</v>
      </c>
      <c r="F7" s="113"/>
      <c r="J7" s="2"/>
      <c r="K7" s="2"/>
      <c r="L7" s="2"/>
      <c r="M7" s="2"/>
    </row>
    <row r="8" spans="2:13" x14ac:dyDescent="0.25">
      <c r="B8" s="112"/>
      <c r="C8" s="112"/>
      <c r="D8" s="112"/>
      <c r="E8" s="113"/>
      <c r="F8" s="113"/>
      <c r="I8" s="115" t="s">
        <v>23</v>
      </c>
      <c r="J8" s="115"/>
      <c r="K8" s="115"/>
      <c r="L8" s="115"/>
      <c r="M8" s="2"/>
    </row>
    <row r="9" spans="2:13" x14ac:dyDescent="0.25">
      <c r="B9" s="113" t="s">
        <v>15</v>
      </c>
      <c r="C9" s="113"/>
      <c r="D9" s="113"/>
      <c r="E9" s="113" t="s">
        <v>9</v>
      </c>
      <c r="F9" s="113"/>
      <c r="I9" s="115"/>
      <c r="J9" s="115"/>
      <c r="K9" s="115"/>
      <c r="L9" s="115"/>
      <c r="M9" s="2"/>
    </row>
    <row r="10" spans="2:13" x14ac:dyDescent="0.25">
      <c r="B10" s="113" t="s">
        <v>16</v>
      </c>
      <c r="C10" s="113"/>
      <c r="D10" s="113"/>
      <c r="E10" s="113" t="s">
        <v>10</v>
      </c>
      <c r="F10" s="113"/>
      <c r="I10" s="115"/>
      <c r="J10" s="115"/>
      <c r="K10" s="115"/>
      <c r="L10" s="115"/>
      <c r="M10" s="2"/>
    </row>
    <row r="11" spans="2:13" x14ac:dyDescent="0.25">
      <c r="B11" s="113" t="s">
        <v>17</v>
      </c>
      <c r="C11" s="113"/>
      <c r="D11" s="113"/>
      <c r="E11" s="109" t="s">
        <v>11</v>
      </c>
      <c r="F11" s="109"/>
      <c r="I11" s="115"/>
      <c r="J11" s="115"/>
      <c r="K11" s="115"/>
      <c r="L11" s="115"/>
      <c r="M11" s="2"/>
    </row>
    <row r="12" spans="2:13" x14ac:dyDescent="0.25">
      <c r="B12" s="113" t="s">
        <v>18</v>
      </c>
      <c r="C12" s="113"/>
      <c r="D12" s="113"/>
      <c r="E12" s="109" t="s">
        <v>12</v>
      </c>
      <c r="F12" s="109"/>
      <c r="I12" s="115"/>
      <c r="J12" s="115"/>
      <c r="K12" s="115"/>
      <c r="L12" s="115"/>
      <c r="M12" s="2"/>
    </row>
    <row r="13" spans="2:13" x14ac:dyDescent="0.25">
      <c r="B13" s="109" t="s">
        <v>19</v>
      </c>
      <c r="C13" s="109"/>
      <c r="D13" s="109"/>
      <c r="E13" s="109" t="s">
        <v>13</v>
      </c>
      <c r="F13" s="109"/>
      <c r="I13" s="115"/>
      <c r="J13" s="115"/>
      <c r="K13" s="115"/>
      <c r="L13" s="115"/>
      <c r="M13" s="2"/>
    </row>
    <row r="14" spans="2:13" x14ac:dyDescent="0.25">
      <c r="B14" s="114" t="s">
        <v>20</v>
      </c>
      <c r="C14" s="114"/>
      <c r="D14" s="114"/>
      <c r="E14" s="109" t="s">
        <v>14</v>
      </c>
      <c r="F14" s="109"/>
      <c r="I14" s="115"/>
      <c r="J14" s="115"/>
      <c r="K14" s="115"/>
      <c r="L14" s="115"/>
      <c r="M14" s="2"/>
    </row>
    <row r="15" spans="2:13" x14ac:dyDescent="0.25">
      <c r="B15" s="114"/>
      <c r="C15" s="114"/>
      <c r="D15" s="114"/>
      <c r="E15" s="109"/>
      <c r="F15" s="109"/>
      <c r="I15" s="115"/>
      <c r="J15" s="115"/>
      <c r="K15" s="115"/>
      <c r="L15" s="115"/>
      <c r="M15" s="2"/>
    </row>
    <row r="16" spans="2:13" x14ac:dyDescent="0.25">
      <c r="B16" s="109" t="s">
        <v>37</v>
      </c>
      <c r="C16" s="109"/>
      <c r="D16" s="109"/>
      <c r="E16" s="109" t="s">
        <v>38</v>
      </c>
      <c r="F16" s="109"/>
      <c r="I16" s="2"/>
      <c r="J16" s="2"/>
      <c r="K16" s="2"/>
      <c r="L16" s="2"/>
      <c r="M16" s="2"/>
    </row>
    <row r="17" spans="2:13" x14ac:dyDescent="0.25">
      <c r="B17" s="109" t="s">
        <v>54</v>
      </c>
      <c r="C17" s="109"/>
      <c r="D17" s="109"/>
      <c r="E17" s="109" t="s">
        <v>53</v>
      </c>
      <c r="F17" s="109"/>
      <c r="I17" s="2"/>
      <c r="J17" s="2"/>
      <c r="K17" s="2"/>
      <c r="L17" s="2"/>
      <c r="M17" s="2"/>
    </row>
    <row r="18" spans="2:13" x14ac:dyDescent="0.25">
      <c r="B18" s="109" t="s">
        <v>82</v>
      </c>
      <c r="C18" s="109"/>
      <c r="D18" s="109"/>
      <c r="E18" s="109" t="s">
        <v>81</v>
      </c>
      <c r="F18" s="109"/>
    </row>
    <row r="19" spans="2:13" x14ac:dyDescent="0.25">
      <c r="B19" s="109" t="s">
        <v>209</v>
      </c>
      <c r="C19" s="109"/>
      <c r="D19" s="109"/>
      <c r="E19" s="109" t="s">
        <v>207</v>
      </c>
      <c r="F19" s="109"/>
    </row>
    <row r="20" spans="2:13" x14ac:dyDescent="0.25">
      <c r="B20" s="109" t="s">
        <v>210</v>
      </c>
      <c r="C20" s="109"/>
      <c r="D20" s="109"/>
      <c r="E20" s="109" t="s">
        <v>208</v>
      </c>
      <c r="F20" s="109"/>
    </row>
    <row r="21" spans="2:13" x14ac:dyDescent="0.25">
      <c r="B21" s="110"/>
      <c r="C21" s="110"/>
      <c r="D21" s="110"/>
      <c r="E21" s="110"/>
      <c r="F21" s="110"/>
    </row>
    <row r="22" spans="2:13" x14ac:dyDescent="0.25">
      <c r="B22" s="2"/>
      <c r="C22" s="2"/>
      <c r="D22" s="2"/>
    </row>
  </sheetData>
  <mergeCells count="33">
    <mergeCell ref="B6:D6"/>
    <mergeCell ref="B9:D9"/>
    <mergeCell ref="B10:D10"/>
    <mergeCell ref="I8:L15"/>
    <mergeCell ref="B5:D5"/>
    <mergeCell ref="E5:F5"/>
    <mergeCell ref="E6:F6"/>
    <mergeCell ref="E13:F13"/>
    <mergeCell ref="B21:D21"/>
    <mergeCell ref="B11:D11"/>
    <mergeCell ref="B12:D12"/>
    <mergeCell ref="B13:D13"/>
    <mergeCell ref="B16:D16"/>
    <mergeCell ref="B17:D17"/>
    <mergeCell ref="B18:D18"/>
    <mergeCell ref="B19:D19"/>
    <mergeCell ref="B20:D20"/>
    <mergeCell ref="E20:F20"/>
    <mergeCell ref="E21:F21"/>
    <mergeCell ref="B3:D4"/>
    <mergeCell ref="E3:F4"/>
    <mergeCell ref="B7:D8"/>
    <mergeCell ref="E7:F8"/>
    <mergeCell ref="B14:D15"/>
    <mergeCell ref="E16:F16"/>
    <mergeCell ref="E17:F17"/>
    <mergeCell ref="E18:F18"/>
    <mergeCell ref="E19:F19"/>
    <mergeCell ref="E14:F15"/>
    <mergeCell ref="E9:F9"/>
    <mergeCell ref="E10:F10"/>
    <mergeCell ref="E11:F11"/>
    <mergeCell ref="E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ED52-0266-4121-8FA7-648984F270AB}">
  <dimension ref="A1:H16"/>
  <sheetViews>
    <sheetView zoomScale="115" zoomScaleNormal="115" workbookViewId="0">
      <selection activeCell="A2" sqref="A2:A5"/>
    </sheetView>
  </sheetViews>
  <sheetFormatPr defaultRowHeight="13.8" x14ac:dyDescent="0.25"/>
  <cols>
    <col min="1" max="6" width="11.5" customWidth="1"/>
    <col min="7" max="7" width="11.5" style="17" customWidth="1"/>
    <col min="8" max="8" width="11.5" customWidth="1"/>
  </cols>
  <sheetData>
    <row r="1" spans="1:8" s="12" customFormat="1" ht="14.4" x14ac:dyDescent="0.3">
      <c r="A1" s="11" t="s">
        <v>28</v>
      </c>
      <c r="B1" s="11" t="s">
        <v>34</v>
      </c>
      <c r="C1" s="11" t="s">
        <v>35</v>
      </c>
      <c r="D1" s="13" t="s">
        <v>50</v>
      </c>
      <c r="E1" s="11" t="s">
        <v>49</v>
      </c>
      <c r="F1" s="11" t="s">
        <v>51</v>
      </c>
      <c r="G1" s="16" t="s">
        <v>52</v>
      </c>
      <c r="H1" s="12" t="s">
        <v>55</v>
      </c>
    </row>
    <row r="2" spans="1:8" x14ac:dyDescent="0.25">
      <c r="A2" t="s">
        <v>29</v>
      </c>
      <c r="B2" s="14">
        <v>120</v>
      </c>
      <c r="C2" s="1">
        <v>2</v>
      </c>
      <c r="D2" s="14">
        <f xml:space="preserve"> B2 * C2</f>
        <v>240</v>
      </c>
      <c r="E2" s="8">
        <v>0.1</v>
      </c>
      <c r="F2" s="18">
        <f>D2 *$E$2 +D2</f>
        <v>264</v>
      </c>
      <c r="G2" s="17">
        <v>46208</v>
      </c>
      <c r="H2" s="18">
        <f>D2 +D2*E2</f>
        <v>264</v>
      </c>
    </row>
    <row r="3" spans="1:8" x14ac:dyDescent="0.25">
      <c r="A3" t="s">
        <v>30</v>
      </c>
      <c r="B3" s="14">
        <v>550</v>
      </c>
      <c r="C3" s="1">
        <v>1</v>
      </c>
      <c r="D3" s="14">
        <f t="shared" ref="D3:D5" si="0" xml:space="preserve"> B3 * C3</f>
        <v>550</v>
      </c>
      <c r="E3" s="8">
        <v>7.0000000000000007E-2</v>
      </c>
      <c r="F3" s="18">
        <f t="shared" ref="F3:F6" si="1">D3 *$E$2 +D3</f>
        <v>605</v>
      </c>
      <c r="G3" s="17">
        <v>46209</v>
      </c>
      <c r="H3" s="18">
        <f t="shared" ref="H3:H6" si="2">D3 +D3*E3</f>
        <v>588.5</v>
      </c>
    </row>
    <row r="4" spans="1:8" x14ac:dyDescent="0.25">
      <c r="A4" t="s">
        <v>31</v>
      </c>
      <c r="B4" s="14">
        <v>150</v>
      </c>
      <c r="C4" s="1">
        <v>2</v>
      </c>
      <c r="D4" s="14">
        <f t="shared" si="0"/>
        <v>300</v>
      </c>
      <c r="E4" s="8">
        <v>0.06</v>
      </c>
      <c r="F4" s="18">
        <f t="shared" si="1"/>
        <v>330</v>
      </c>
      <c r="G4" s="17">
        <v>46210</v>
      </c>
      <c r="H4" s="18">
        <f t="shared" si="2"/>
        <v>318</v>
      </c>
    </row>
    <row r="5" spans="1:8" x14ac:dyDescent="0.25">
      <c r="A5" t="s">
        <v>32</v>
      </c>
      <c r="B5" s="14">
        <v>100</v>
      </c>
      <c r="C5" s="1">
        <v>2</v>
      </c>
      <c r="D5" s="15">
        <f t="shared" si="0"/>
        <v>200</v>
      </c>
      <c r="E5" s="8">
        <v>0.08</v>
      </c>
      <c r="F5" s="18">
        <f t="shared" si="1"/>
        <v>220</v>
      </c>
      <c r="G5" s="17">
        <v>46211</v>
      </c>
      <c r="H5" s="18">
        <f t="shared" si="2"/>
        <v>216</v>
      </c>
    </row>
    <row r="6" spans="1:8" x14ac:dyDescent="0.25">
      <c r="A6" t="s">
        <v>33</v>
      </c>
      <c r="B6" s="14">
        <v>100</v>
      </c>
      <c r="C6" s="1">
        <v>1</v>
      </c>
      <c r="D6" s="14">
        <f xml:space="preserve"> B6 * C6</f>
        <v>100</v>
      </c>
      <c r="E6" s="8">
        <v>0.08</v>
      </c>
      <c r="F6" s="18">
        <f t="shared" si="1"/>
        <v>110</v>
      </c>
      <c r="G6" s="17">
        <v>46212</v>
      </c>
      <c r="H6" s="18">
        <f t="shared" si="2"/>
        <v>108</v>
      </c>
    </row>
    <row r="9" spans="1:8" x14ac:dyDescent="0.25">
      <c r="C9" s="1"/>
    </row>
    <row r="14" spans="1:8" x14ac:dyDescent="0.25">
      <c r="B14">
        <v>1</v>
      </c>
      <c r="C14">
        <v>2</v>
      </c>
      <c r="D14">
        <v>3</v>
      </c>
      <c r="E14">
        <v>4</v>
      </c>
      <c r="F14">
        <v>5</v>
      </c>
    </row>
    <row r="15" spans="1:8" x14ac:dyDescent="0.25">
      <c r="B15">
        <v>10</v>
      </c>
      <c r="C15">
        <v>10</v>
      </c>
      <c r="D15">
        <v>10</v>
      </c>
      <c r="E15">
        <v>10</v>
      </c>
      <c r="F15">
        <v>10</v>
      </c>
    </row>
    <row r="16" spans="1:8" x14ac:dyDescent="0.25">
      <c r="B16">
        <f>B14+B15</f>
        <v>11</v>
      </c>
      <c r="C16">
        <f t="shared" ref="C16:F16" si="3">C14+C15</f>
        <v>12</v>
      </c>
      <c r="D16">
        <f t="shared" si="3"/>
        <v>13</v>
      </c>
      <c r="E16">
        <f t="shared" si="3"/>
        <v>14</v>
      </c>
      <c r="F16">
        <f t="shared" si="3"/>
        <v>15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FC96-74E6-469B-BE37-9240C49DD4A1}">
  <dimension ref="A3:S122"/>
  <sheetViews>
    <sheetView topLeftCell="A33" zoomScale="130" zoomScaleNormal="130" workbookViewId="0">
      <selection activeCell="J18" sqref="J18:K32"/>
    </sheetView>
  </sheetViews>
  <sheetFormatPr defaultRowHeight="13.8" x14ac:dyDescent="0.25"/>
  <cols>
    <col min="2" max="2" width="8.796875" customWidth="1"/>
    <col min="10" max="10" width="11.19921875" customWidth="1"/>
    <col min="11" max="11" width="11.69921875" customWidth="1"/>
    <col min="12" max="12" width="10.59765625" customWidth="1"/>
    <col min="13" max="13" width="13.796875" customWidth="1"/>
    <col min="15" max="15" width="10.296875" bestFit="1" customWidth="1"/>
  </cols>
  <sheetData>
    <row r="3" spans="2:15" ht="18" x14ac:dyDescent="0.35">
      <c r="B3" s="117" t="s">
        <v>66</v>
      </c>
      <c r="C3" s="117"/>
    </row>
    <row r="4" spans="2:15" ht="14.4" x14ac:dyDescent="0.3">
      <c r="B4" t="s">
        <v>67</v>
      </c>
      <c r="K4" s="21" t="s">
        <v>24</v>
      </c>
      <c r="L4" s="20" t="s">
        <v>63</v>
      </c>
      <c r="M4" s="20" t="s">
        <v>64</v>
      </c>
      <c r="N4" s="22" t="s">
        <v>71</v>
      </c>
    </row>
    <row r="5" spans="2:15" x14ac:dyDescent="0.25">
      <c r="K5" t="s">
        <v>56</v>
      </c>
      <c r="L5" s="3">
        <v>96</v>
      </c>
      <c r="M5" s="3">
        <v>95</v>
      </c>
      <c r="N5" s="1">
        <v>30</v>
      </c>
    </row>
    <row r="6" spans="2:15" x14ac:dyDescent="0.25">
      <c r="B6" t="s">
        <v>68</v>
      </c>
      <c r="K6" t="s">
        <v>57</v>
      </c>
      <c r="L6" s="3">
        <v>88</v>
      </c>
      <c r="M6" s="3">
        <v>92</v>
      </c>
      <c r="N6" s="1">
        <v>25</v>
      </c>
    </row>
    <row r="7" spans="2:15" x14ac:dyDescent="0.25">
      <c r="K7" t="s">
        <v>58</v>
      </c>
      <c r="L7" s="3">
        <v>62</v>
      </c>
      <c r="M7" s="3">
        <v>86</v>
      </c>
      <c r="N7" s="1">
        <v>30</v>
      </c>
    </row>
    <row r="8" spans="2:15" x14ac:dyDescent="0.25">
      <c r="C8" t="s">
        <v>69</v>
      </c>
      <c r="K8" t="s">
        <v>59</v>
      </c>
      <c r="L8" s="3">
        <v>43</v>
      </c>
      <c r="M8" s="3">
        <v>72</v>
      </c>
      <c r="N8" s="1">
        <v>45</v>
      </c>
    </row>
    <row r="9" spans="2:15" x14ac:dyDescent="0.25">
      <c r="K9" t="s">
        <v>60</v>
      </c>
      <c r="L9" s="3">
        <v>87</v>
      </c>
      <c r="M9" s="3">
        <v>88</v>
      </c>
      <c r="N9" s="1">
        <v>30</v>
      </c>
    </row>
    <row r="10" spans="2:15" x14ac:dyDescent="0.25">
      <c r="C10" s="118" t="s">
        <v>70</v>
      </c>
      <c r="D10" s="118"/>
      <c r="E10" s="118"/>
      <c r="F10">
        <f>SUM(1,2,3)</f>
        <v>6</v>
      </c>
      <c r="K10" t="s">
        <v>61</v>
      </c>
      <c r="L10" s="3">
        <v>23</v>
      </c>
      <c r="M10" s="3">
        <v>34</v>
      </c>
      <c r="N10" s="1">
        <v>10</v>
      </c>
    </row>
    <row r="11" spans="2:15" x14ac:dyDescent="0.25">
      <c r="F11" t="e">
        <f>SUM(1,2, idrees)</f>
        <v>#NAME?</v>
      </c>
      <c r="K11" t="s">
        <v>62</v>
      </c>
      <c r="L11" s="3">
        <v>97</v>
      </c>
      <c r="M11" s="3">
        <v>41</v>
      </c>
      <c r="N11" s="1">
        <v>45</v>
      </c>
    </row>
    <row r="12" spans="2:15" x14ac:dyDescent="0.25">
      <c r="F12" t="e" cm="1">
        <f t="array" aca="1" ref="F12" ca="1">SUMM(1,2)</f>
        <v>#NAME?</v>
      </c>
      <c r="K12" t="s">
        <v>65</v>
      </c>
      <c r="L12" s="3">
        <v>42</v>
      </c>
      <c r="M12" s="3">
        <v>32</v>
      </c>
      <c r="N12" s="1">
        <v>20</v>
      </c>
    </row>
    <row r="13" spans="2:15" x14ac:dyDescent="0.25">
      <c r="M13" t="s">
        <v>36</v>
      </c>
      <c r="N13" s="1">
        <f>SUM(N5:N12)</f>
        <v>235</v>
      </c>
    </row>
    <row r="14" spans="2:15" ht="14.4" x14ac:dyDescent="0.3">
      <c r="B14" s="119" t="s">
        <v>72</v>
      </c>
      <c r="C14" s="119"/>
    </row>
    <row r="15" spans="2:15" x14ac:dyDescent="0.25">
      <c r="C15" t="s">
        <v>73</v>
      </c>
    </row>
    <row r="16" spans="2:15" x14ac:dyDescent="0.25">
      <c r="F16" s="19"/>
      <c r="M16" t="s">
        <v>74</v>
      </c>
      <c r="O16" t="s">
        <v>75</v>
      </c>
    </row>
    <row r="17" spans="1:19" x14ac:dyDescent="0.25">
      <c r="F17" s="25" t="s">
        <v>75</v>
      </c>
    </row>
    <row r="18" spans="1:19" ht="14.4" x14ac:dyDescent="0.3">
      <c r="B18" s="116" t="s">
        <v>78</v>
      </c>
      <c r="C18" s="116"/>
      <c r="D18" s="116"/>
      <c r="E18" s="121" t="s">
        <v>79</v>
      </c>
      <c r="F18" s="121"/>
      <c r="G18" s="121"/>
      <c r="H18" s="121"/>
      <c r="I18" s="121"/>
      <c r="J18" s="120" t="s">
        <v>80</v>
      </c>
      <c r="K18" s="120"/>
    </row>
    <row r="19" spans="1:19" ht="14.4" x14ac:dyDescent="0.3">
      <c r="B19" s="116" t="s">
        <v>77</v>
      </c>
      <c r="C19" s="116"/>
      <c r="D19" s="116"/>
      <c r="E19" s="121" t="s">
        <v>76</v>
      </c>
      <c r="F19" s="121"/>
      <c r="G19" s="121"/>
      <c r="H19" s="121"/>
      <c r="I19" s="121"/>
      <c r="J19" s="120">
        <f>SUM(N5:N12)</f>
        <v>235</v>
      </c>
      <c r="K19" s="120"/>
    </row>
    <row r="20" spans="1:19" s="25" customFormat="1" ht="14.4" x14ac:dyDescent="0.3">
      <c r="B20" s="116" t="s">
        <v>89</v>
      </c>
      <c r="C20" s="116"/>
      <c r="D20" s="116"/>
      <c r="E20" s="121" t="s">
        <v>90</v>
      </c>
      <c r="F20" s="121"/>
      <c r="G20" s="121"/>
      <c r="H20" s="121"/>
      <c r="I20" s="121"/>
      <c r="J20" s="120">
        <f>PRODUCT(N6:N10)</f>
        <v>10125000</v>
      </c>
      <c r="K20" s="120"/>
    </row>
    <row r="21" spans="1:19" ht="14.4" x14ac:dyDescent="0.3">
      <c r="B21" s="116" t="s">
        <v>84</v>
      </c>
      <c r="C21" s="116"/>
      <c r="D21" s="116"/>
      <c r="E21" s="121" t="s">
        <v>83</v>
      </c>
      <c r="F21" s="121"/>
      <c r="G21" s="121"/>
      <c r="H21" s="121"/>
      <c r="I21" s="121"/>
      <c r="J21" s="120">
        <f xml:space="preserve"> SUMIF(N5:N12, "&gt;20")</f>
        <v>205</v>
      </c>
      <c r="K21" s="120"/>
    </row>
    <row r="22" spans="1:19" ht="14.4" x14ac:dyDescent="0.3">
      <c r="B22" s="116" t="s">
        <v>85</v>
      </c>
      <c r="C22" s="116"/>
      <c r="D22" s="116"/>
      <c r="E22" s="123" t="s">
        <v>88</v>
      </c>
      <c r="F22" s="123"/>
      <c r="G22" s="123"/>
      <c r="H22" s="123"/>
      <c r="I22" s="123"/>
      <c r="J22" s="120">
        <f>SUMPRODUCT(P30:P33,Q30:Q33)</f>
        <v>2250</v>
      </c>
      <c r="K22" s="120"/>
    </row>
    <row r="23" spans="1:19" ht="14.4" x14ac:dyDescent="0.3">
      <c r="A23" s="25"/>
      <c r="B23" s="116" t="s">
        <v>91</v>
      </c>
      <c r="C23" s="116"/>
      <c r="D23" s="116"/>
      <c r="E23" s="110"/>
      <c r="F23" s="110"/>
      <c r="G23" s="110"/>
      <c r="H23" s="110"/>
      <c r="I23" s="110"/>
      <c r="J23" s="120">
        <f>AVERAGE(N5:N12)</f>
        <v>29.375</v>
      </c>
      <c r="K23" s="120"/>
    </row>
    <row r="24" spans="1:19" ht="14.4" x14ac:dyDescent="0.3">
      <c r="B24" s="116" t="s">
        <v>92</v>
      </c>
      <c r="C24" s="116"/>
      <c r="D24" s="116"/>
      <c r="E24" s="122" t="s">
        <v>117</v>
      </c>
      <c r="F24" s="122"/>
      <c r="G24" s="122"/>
      <c r="H24" s="122"/>
      <c r="I24" s="122"/>
      <c r="J24" s="120">
        <f>AVERAGEIF(N5:N12,"&gt;10")</f>
        <v>32.142857142857146</v>
      </c>
      <c r="K24" s="120"/>
      <c r="P24">
        <v>2</v>
      </c>
      <c r="Q24">
        <v>3</v>
      </c>
      <c r="R24" s="23">
        <f>PRODUCT(P24:Q24)</f>
        <v>6</v>
      </c>
    </row>
    <row r="25" spans="1:19" x14ac:dyDescent="0.25">
      <c r="B25" s="124" t="s">
        <v>93</v>
      </c>
      <c r="C25" s="124"/>
      <c r="D25" s="124"/>
      <c r="E25" s="110"/>
      <c r="F25" s="110"/>
      <c r="G25" s="110"/>
      <c r="H25" s="110"/>
      <c r="I25" s="110"/>
      <c r="J25" s="120">
        <f>AVERAGEIFS(N5:N12, L5:L12,"&gt;75")</f>
        <v>32.5</v>
      </c>
      <c r="K25" s="120"/>
      <c r="P25">
        <v>2</v>
      </c>
      <c r="Q25">
        <v>3</v>
      </c>
      <c r="R25" s="23">
        <f t="shared" ref="R25:R27" si="0">PRODUCT(P25:Q25)</f>
        <v>6</v>
      </c>
    </row>
    <row r="26" spans="1:19" s="25" customFormat="1" ht="14.4" x14ac:dyDescent="0.3">
      <c r="B26" s="125" t="s">
        <v>95</v>
      </c>
      <c r="C26" s="125"/>
      <c r="D26" s="125"/>
      <c r="E26" s="110" t="s">
        <v>102</v>
      </c>
      <c r="F26" s="110"/>
      <c r="G26" s="110"/>
      <c r="H26" s="110"/>
      <c r="I26" s="110"/>
      <c r="J26" s="120">
        <f>COUNT(E20:I28)</f>
        <v>0</v>
      </c>
      <c r="K26" s="120"/>
      <c r="R26" s="30"/>
    </row>
    <row r="27" spans="1:19" ht="14.4" x14ac:dyDescent="0.3">
      <c r="B27" s="125" t="s">
        <v>100</v>
      </c>
      <c r="C27" s="125"/>
      <c r="D27" s="125"/>
      <c r="E27" s="110" t="s">
        <v>101</v>
      </c>
      <c r="F27" s="110"/>
      <c r="G27" s="110"/>
      <c r="H27" s="110"/>
      <c r="I27" s="110"/>
      <c r="J27" s="120">
        <f>COUNTA(E20:I28)</f>
        <v>7</v>
      </c>
      <c r="K27" s="120"/>
      <c r="P27">
        <v>2</v>
      </c>
      <c r="Q27">
        <v>3</v>
      </c>
      <c r="R27" s="23">
        <f t="shared" si="0"/>
        <v>6</v>
      </c>
    </row>
    <row r="28" spans="1:19" ht="14.4" x14ac:dyDescent="0.3">
      <c r="B28" s="125" t="s">
        <v>97</v>
      </c>
      <c r="C28" s="125"/>
      <c r="D28" s="125"/>
      <c r="E28" s="110" t="s">
        <v>99</v>
      </c>
      <c r="F28" s="110"/>
      <c r="G28" s="110"/>
      <c r="H28" s="110"/>
      <c r="I28" s="110"/>
      <c r="J28" s="120">
        <f>COUNTBLANK(O28:O33)</f>
        <v>2</v>
      </c>
      <c r="K28" s="120"/>
      <c r="R28" s="23">
        <f>SUM(R24:R27)</f>
        <v>18</v>
      </c>
      <c r="S28">
        <f>SUMPRODUCT(P24:P27, Q24:Q27)</f>
        <v>18</v>
      </c>
    </row>
    <row r="29" spans="1:19" ht="14.4" x14ac:dyDescent="0.3">
      <c r="B29" s="125" t="s">
        <v>96</v>
      </c>
      <c r="C29" s="125"/>
      <c r="D29" s="125"/>
      <c r="E29" s="110"/>
      <c r="F29" s="110"/>
      <c r="G29" s="110"/>
      <c r="H29" s="110"/>
      <c r="I29" s="110"/>
      <c r="J29" s="120">
        <f xml:space="preserve"> COUNTIF(L5:L12, "&gt;70")</f>
        <v>4</v>
      </c>
      <c r="K29" s="120"/>
      <c r="P29" s="11" t="s">
        <v>34</v>
      </c>
      <c r="Q29" s="11" t="s">
        <v>35</v>
      </c>
    </row>
    <row r="30" spans="1:19" x14ac:dyDescent="0.25">
      <c r="B30" s="128" t="s">
        <v>98</v>
      </c>
      <c r="C30" s="128"/>
      <c r="D30" s="128"/>
      <c r="E30" s="110"/>
      <c r="F30" s="110"/>
      <c r="G30" s="110"/>
      <c r="H30" s="110"/>
      <c r="I30" s="110"/>
      <c r="J30" s="120">
        <f xml:space="preserve"> COUNTIFS(L5:L12, "&gt;70", N5:N12, "&gt;10")</f>
        <v>4</v>
      </c>
      <c r="K30" s="120"/>
      <c r="O30" s="25" t="s">
        <v>29</v>
      </c>
      <c r="P30">
        <v>120</v>
      </c>
      <c r="Q30" s="1">
        <v>5</v>
      </c>
      <c r="R30">
        <f>P30*Q30</f>
        <v>600</v>
      </c>
    </row>
    <row r="31" spans="1:19" ht="14.4" x14ac:dyDescent="0.3">
      <c r="B31" s="125" t="s">
        <v>103</v>
      </c>
      <c r="C31" s="125"/>
      <c r="D31" s="125"/>
      <c r="E31" s="110"/>
      <c r="F31" s="110"/>
      <c r="G31" s="110"/>
      <c r="H31" s="110"/>
      <c r="I31" s="110"/>
      <c r="J31" s="120">
        <f>MIN(N5:N12)</f>
        <v>10</v>
      </c>
      <c r="K31" s="120"/>
      <c r="O31" s="25" t="s">
        <v>30</v>
      </c>
      <c r="P31">
        <v>550</v>
      </c>
      <c r="Q31" s="1">
        <v>1</v>
      </c>
      <c r="R31">
        <f t="shared" ref="R31:R33" si="1">P31*Q31</f>
        <v>550</v>
      </c>
    </row>
    <row r="32" spans="1:19" ht="14.4" x14ac:dyDescent="0.3">
      <c r="B32" s="125" t="s">
        <v>104</v>
      </c>
      <c r="C32" s="125"/>
      <c r="D32" s="125"/>
      <c r="E32" s="110"/>
      <c r="F32" s="110"/>
      <c r="G32" s="110"/>
      <c r="H32" s="110"/>
      <c r="I32" s="110"/>
      <c r="J32" s="120">
        <f>MAX(N5:N12)</f>
        <v>45</v>
      </c>
      <c r="K32" s="120"/>
      <c r="O32" s="25" t="s">
        <v>31</v>
      </c>
      <c r="P32">
        <v>150</v>
      </c>
      <c r="Q32" s="1">
        <v>6</v>
      </c>
      <c r="R32">
        <f t="shared" si="1"/>
        <v>900</v>
      </c>
    </row>
    <row r="33" spans="2:18" x14ac:dyDescent="0.25">
      <c r="O33" s="25" t="s">
        <v>32</v>
      </c>
      <c r="P33">
        <v>100</v>
      </c>
      <c r="Q33" s="1">
        <v>2</v>
      </c>
      <c r="R33">
        <f t="shared" si="1"/>
        <v>200</v>
      </c>
    </row>
    <row r="34" spans="2:18" x14ac:dyDescent="0.25">
      <c r="E34" t="e">
        <v>#VALUE!</v>
      </c>
      <c r="F34" t="s">
        <v>105</v>
      </c>
      <c r="Q34" s="24" t="s">
        <v>86</v>
      </c>
      <c r="R34">
        <f>SUM(R30:R33)</f>
        <v>2250</v>
      </c>
    </row>
    <row r="35" spans="2:18" x14ac:dyDescent="0.25">
      <c r="E35" t="e">
        <v>#DIV/0!</v>
      </c>
      <c r="F35" t="s">
        <v>106</v>
      </c>
      <c r="J35" t="e">
        <f>AVERAGE(L35:L36)</f>
        <v>#DIV/0!</v>
      </c>
    </row>
    <row r="36" spans="2:18" x14ac:dyDescent="0.25">
      <c r="E36" t="e">
        <v>#REF!</v>
      </c>
      <c r="F36" t="s">
        <v>107</v>
      </c>
      <c r="P36" t="s">
        <v>87</v>
      </c>
      <c r="R36">
        <f>SUMPRODUCT(P30:P33,Q30:Q33)</f>
        <v>2250</v>
      </c>
    </row>
    <row r="41" spans="2:18" ht="14.4" thickBot="1" x14ac:dyDescent="0.3"/>
    <row r="42" spans="2:18" ht="14.4" thickBot="1" x14ac:dyDescent="0.3">
      <c r="B42" s="126" t="s">
        <v>94</v>
      </c>
      <c r="C42" s="127"/>
    </row>
    <row r="43" spans="2:18" x14ac:dyDescent="0.25">
      <c r="C43" t="s">
        <v>108</v>
      </c>
    </row>
    <row r="45" spans="2:18" ht="14.4" x14ac:dyDescent="0.3">
      <c r="C45" t="s">
        <v>110</v>
      </c>
      <c r="I45" s="43" t="s">
        <v>24</v>
      </c>
      <c r="J45" s="28" t="s">
        <v>63</v>
      </c>
      <c r="K45" s="28" t="s">
        <v>64</v>
      </c>
      <c r="L45" s="29" t="s">
        <v>71</v>
      </c>
      <c r="M45" s="29" t="s">
        <v>113</v>
      </c>
      <c r="N45" t="s">
        <v>114</v>
      </c>
    </row>
    <row r="46" spans="2:18" x14ac:dyDescent="0.25">
      <c r="I46" s="25" t="s">
        <v>56</v>
      </c>
      <c r="J46" s="27">
        <v>96</v>
      </c>
      <c r="K46" s="27">
        <v>95</v>
      </c>
      <c r="L46" s="26">
        <v>30</v>
      </c>
      <c r="N46" t="str" cm="1">
        <f t="array" ref="N46">_xlfn.IFS(K46 &gt; 90,"A", K46&gt;80, "B", K46&gt;70, "C",TRUE, "Needs Improvement" )</f>
        <v>A</v>
      </c>
    </row>
    <row r="47" spans="2:18" ht="14.4" x14ac:dyDescent="0.3">
      <c r="C47" t="s">
        <v>109</v>
      </c>
      <c r="D47" s="31" t="s">
        <v>111</v>
      </c>
      <c r="E47" s="31" t="s">
        <v>112</v>
      </c>
      <c r="I47" s="25" t="s">
        <v>57</v>
      </c>
      <c r="J47" s="27">
        <v>88</v>
      </c>
      <c r="K47" s="27">
        <v>92</v>
      </c>
      <c r="L47" s="26">
        <v>25</v>
      </c>
      <c r="N47" s="25" t="str" cm="1">
        <f t="array" ref="N47">_xlfn.IFS(K47 &gt; 90,"A", K47&gt;80, "B", K47&gt;70, "C",TRUE, "Needs Improvement" )</f>
        <v>A</v>
      </c>
    </row>
    <row r="48" spans="2:18" x14ac:dyDescent="0.25">
      <c r="D48" s="26">
        <v>18</v>
      </c>
      <c r="E48" s="26" t="str">
        <f>IF(D48 &gt;= 18, "Voter", "Non-Voter")</f>
        <v>Voter</v>
      </c>
      <c r="I48" s="25" t="s">
        <v>58</v>
      </c>
      <c r="J48" s="27">
        <v>62</v>
      </c>
      <c r="K48" s="27">
        <v>86</v>
      </c>
      <c r="L48" s="26">
        <v>30</v>
      </c>
      <c r="N48" s="25" t="str" cm="1">
        <f t="array" ref="N48">_xlfn.IFS(K48 &gt; 90,"A", K48&gt;80, "B", K48&gt;70, "C",TRUE, "Needs Improvement" )</f>
        <v>B</v>
      </c>
    </row>
    <row r="49" spans="2:14" x14ac:dyDescent="0.25">
      <c r="D49" s="26">
        <v>20</v>
      </c>
      <c r="E49" s="26" t="str">
        <f t="shared" ref="E49:E53" si="2">IF(D49 &gt;= 18, "Voter", "Non-Voter")</f>
        <v>Voter</v>
      </c>
      <c r="I49" s="25" t="s">
        <v>59</v>
      </c>
      <c r="J49" s="27">
        <v>43</v>
      </c>
      <c r="K49" s="27">
        <v>72</v>
      </c>
      <c r="L49" s="26">
        <v>45</v>
      </c>
      <c r="N49" s="25" t="str" cm="1">
        <f t="array" ref="N49">_xlfn.IFS(K49 &gt; 90,"A", K49&gt;80, "B", K49&gt;70, "C",TRUE, "Needs Improvement" )</f>
        <v>C</v>
      </c>
    </row>
    <row r="50" spans="2:14" x14ac:dyDescent="0.25">
      <c r="D50" s="26">
        <v>34</v>
      </c>
      <c r="E50" s="26" t="str">
        <f t="shared" si="2"/>
        <v>Voter</v>
      </c>
      <c r="I50" s="25" t="s">
        <v>60</v>
      </c>
      <c r="J50" s="27">
        <v>87</v>
      </c>
      <c r="K50" s="27">
        <v>88</v>
      </c>
      <c r="L50" s="26">
        <v>30</v>
      </c>
      <c r="N50" s="25" t="str" cm="1">
        <f t="array" ref="N50">_xlfn.IFS(K50 &gt; 90,"A", K50&gt;80, "B", K50&gt;70, "C",TRUE, "Needs Improvement" )</f>
        <v>B</v>
      </c>
    </row>
    <row r="51" spans="2:14" x14ac:dyDescent="0.25">
      <c r="D51" s="26">
        <v>6</v>
      </c>
      <c r="E51" s="26" t="str">
        <f t="shared" si="2"/>
        <v>Non-Voter</v>
      </c>
      <c r="I51" s="25" t="s">
        <v>61</v>
      </c>
      <c r="J51" s="27">
        <v>23</v>
      </c>
      <c r="K51" s="27">
        <v>34</v>
      </c>
      <c r="L51" s="26">
        <v>10</v>
      </c>
      <c r="N51" s="25" t="str" cm="1">
        <f t="array" ref="N51">_xlfn.IFS(K51 &gt; 90,"A", K51&gt;80, "B", K51&gt;70, "C",TRUE, "Needs Improvement" )</f>
        <v>Needs Improvement</v>
      </c>
    </row>
    <row r="52" spans="2:14" x14ac:dyDescent="0.25">
      <c r="D52" s="26">
        <v>10</v>
      </c>
      <c r="E52" s="26" t="str">
        <f t="shared" si="2"/>
        <v>Non-Voter</v>
      </c>
      <c r="I52" s="25" t="s">
        <v>62</v>
      </c>
      <c r="J52" s="27">
        <v>97</v>
      </c>
      <c r="K52" s="27">
        <v>41</v>
      </c>
      <c r="L52" s="26">
        <v>45</v>
      </c>
      <c r="N52" s="25" t="str" cm="1">
        <f t="array" ref="N52">_xlfn.IFS(K52 &gt; 90,"A", K52&gt;80, "B", K52&gt;70, "C",TRUE, "Needs Improvement" )</f>
        <v>Needs Improvement</v>
      </c>
    </row>
    <row r="53" spans="2:14" x14ac:dyDescent="0.25">
      <c r="D53" s="26">
        <v>55</v>
      </c>
      <c r="E53" s="26" t="str">
        <f t="shared" si="2"/>
        <v>Voter</v>
      </c>
      <c r="I53" s="25" t="s">
        <v>65</v>
      </c>
      <c r="J53" s="27">
        <v>42</v>
      </c>
      <c r="K53" s="27">
        <v>32</v>
      </c>
      <c r="L53" s="26">
        <v>20</v>
      </c>
      <c r="N53" s="25" t="str" cm="1">
        <f t="array" ref="N53">_xlfn.IFS(K53 &gt; 90,"A", K53&gt;80, "B", K53&gt;70, "C",TRUE, "Needs Improvement" )</f>
        <v>Needs Improvement</v>
      </c>
    </row>
    <row r="55" spans="2:14" x14ac:dyDescent="0.25">
      <c r="C55" t="s">
        <v>115</v>
      </c>
    </row>
    <row r="56" spans="2:14" x14ac:dyDescent="0.25">
      <c r="C56" s="32" t="s">
        <v>116</v>
      </c>
    </row>
    <row r="57" spans="2:14" x14ac:dyDescent="0.25">
      <c r="C57" t="s">
        <v>119</v>
      </c>
    </row>
    <row r="60" spans="2:14" ht="14.4" thickBot="1" x14ac:dyDescent="0.3"/>
    <row r="61" spans="2:14" ht="14.4" thickBot="1" x14ac:dyDescent="0.3">
      <c r="B61" s="126" t="s">
        <v>118</v>
      </c>
      <c r="C61" s="127"/>
    </row>
    <row r="62" spans="2:14" x14ac:dyDescent="0.25">
      <c r="B62" t="s">
        <v>120</v>
      </c>
    </row>
    <row r="63" spans="2:14" x14ac:dyDescent="0.25">
      <c r="D63" s="34">
        <v>1</v>
      </c>
      <c r="E63" s="34">
        <v>0</v>
      </c>
    </row>
    <row r="66" spans="2:14" ht="14.4" x14ac:dyDescent="0.3">
      <c r="B66" s="36" t="s">
        <v>124</v>
      </c>
      <c r="E66" t="s">
        <v>123</v>
      </c>
      <c r="G66" t="s">
        <v>126</v>
      </c>
    </row>
    <row r="67" spans="2:14" ht="14.4" x14ac:dyDescent="0.3">
      <c r="B67" s="36" t="s">
        <v>133</v>
      </c>
      <c r="E67" t="s">
        <v>127</v>
      </c>
    </row>
    <row r="68" spans="2:14" ht="14.4" x14ac:dyDescent="0.3">
      <c r="B68" s="36" t="s">
        <v>134</v>
      </c>
      <c r="E68" t="s">
        <v>128</v>
      </c>
    </row>
    <row r="70" spans="2:14" x14ac:dyDescent="0.25">
      <c r="C70" s="120" t="s">
        <v>125</v>
      </c>
      <c r="D70" s="120"/>
      <c r="E70" s="120"/>
    </row>
    <row r="71" spans="2:14" x14ac:dyDescent="0.25">
      <c r="B71" s="37" t="s">
        <v>129</v>
      </c>
      <c r="C71" s="37" t="s">
        <v>130</v>
      </c>
      <c r="D71" s="38" t="s">
        <v>122</v>
      </c>
      <c r="E71" s="39" t="s">
        <v>121</v>
      </c>
    </row>
    <row r="72" spans="2:14" x14ac:dyDescent="0.25">
      <c r="B72" s="40">
        <v>0</v>
      </c>
      <c r="C72" s="40">
        <v>0</v>
      </c>
      <c r="D72" s="41" t="b">
        <f xml:space="preserve"> OR(B72,C72)</f>
        <v>0</v>
      </c>
      <c r="E72" s="41" t="b">
        <f xml:space="preserve"> AND(B72,C72)</f>
        <v>0</v>
      </c>
    </row>
    <row r="73" spans="2:14" x14ac:dyDescent="0.25">
      <c r="B73" s="40">
        <v>0</v>
      </c>
      <c r="C73" s="40">
        <v>1</v>
      </c>
      <c r="D73" s="42" t="b">
        <f t="shared" ref="D73:D75" si="3" xml:space="preserve"> OR(B73,C73)</f>
        <v>1</v>
      </c>
      <c r="E73" s="41" t="b">
        <f t="shared" ref="E73:E75" si="4" xml:space="preserve"> AND(B73,C73)</f>
        <v>0</v>
      </c>
    </row>
    <row r="74" spans="2:14" ht="14.4" x14ac:dyDescent="0.3">
      <c r="B74" s="40">
        <v>1</v>
      </c>
      <c r="C74" s="40">
        <v>0</v>
      </c>
      <c r="D74" s="42" t="b">
        <f t="shared" si="3"/>
        <v>1</v>
      </c>
      <c r="E74" s="41" t="b">
        <f t="shared" si="4"/>
        <v>0</v>
      </c>
      <c r="K74" s="43" t="s">
        <v>24</v>
      </c>
      <c r="L74" s="28" t="s">
        <v>63</v>
      </c>
      <c r="M74" s="28" t="s">
        <v>64</v>
      </c>
      <c r="N74" s="29" t="s">
        <v>71</v>
      </c>
    </row>
    <row r="75" spans="2:14" x14ac:dyDescent="0.25">
      <c r="B75" s="40">
        <v>1</v>
      </c>
      <c r="C75" s="40">
        <v>1</v>
      </c>
      <c r="D75" s="42" t="b">
        <f t="shared" si="3"/>
        <v>1</v>
      </c>
      <c r="E75" s="42" t="b">
        <f t="shared" si="4"/>
        <v>1</v>
      </c>
      <c r="K75" s="35" t="s">
        <v>56</v>
      </c>
      <c r="L75" s="33">
        <v>96</v>
      </c>
      <c r="M75" s="33">
        <v>95</v>
      </c>
      <c r="N75" s="34">
        <v>30</v>
      </c>
    </row>
    <row r="76" spans="2:14" x14ac:dyDescent="0.25">
      <c r="D76" s="34" t="s">
        <v>131</v>
      </c>
      <c r="E76" s="34" t="s">
        <v>132</v>
      </c>
      <c r="K76" s="35" t="s">
        <v>57</v>
      </c>
      <c r="L76" s="33">
        <v>88</v>
      </c>
      <c r="M76" s="33">
        <v>92</v>
      </c>
      <c r="N76" s="34">
        <v>25</v>
      </c>
    </row>
    <row r="77" spans="2:14" x14ac:dyDescent="0.25">
      <c r="K77" s="35" t="s">
        <v>58</v>
      </c>
      <c r="L77" s="33">
        <v>62</v>
      </c>
      <c r="M77" s="33">
        <v>86</v>
      </c>
      <c r="N77" s="34">
        <v>30</v>
      </c>
    </row>
    <row r="78" spans="2:14" ht="14.4" x14ac:dyDescent="0.3">
      <c r="B78" s="45" t="s">
        <v>138</v>
      </c>
      <c r="C78" s="45" t="s">
        <v>139</v>
      </c>
      <c r="D78" s="36"/>
      <c r="E78" s="36" t="s">
        <v>145</v>
      </c>
      <c r="G78" s="71" t="s">
        <v>277</v>
      </c>
      <c r="K78" s="35" t="s">
        <v>59</v>
      </c>
      <c r="L78" s="33">
        <v>43</v>
      </c>
      <c r="M78" s="33">
        <v>72</v>
      </c>
      <c r="N78" s="34">
        <v>45</v>
      </c>
    </row>
    <row r="79" spans="2:14" x14ac:dyDescent="0.25">
      <c r="B79" s="44">
        <v>75</v>
      </c>
      <c r="C79" s="44" t="s">
        <v>140</v>
      </c>
      <c r="D79" t="b">
        <f>AND(B79 &gt; 60, C79 = "physics")</f>
        <v>1</v>
      </c>
      <c r="E79" t="str">
        <f xml:space="preserve"> IF(AND(B79 &gt; 60, C79 = "physics"), "Eligible","Not Eligible")</f>
        <v>Eligible</v>
      </c>
      <c r="G79" s="72" t="b">
        <f>NOT(B79 &gt; 85)</f>
        <v>1</v>
      </c>
      <c r="K79" s="35" t="s">
        <v>60</v>
      </c>
      <c r="L79" s="33">
        <v>87</v>
      </c>
      <c r="M79" s="33">
        <v>88</v>
      </c>
      <c r="N79" s="34">
        <v>30</v>
      </c>
    </row>
    <row r="80" spans="2:14" x14ac:dyDescent="0.25">
      <c r="B80" s="44">
        <v>65</v>
      </c>
      <c r="C80" s="44" t="s">
        <v>141</v>
      </c>
      <c r="D80" s="35" t="b">
        <f t="shared" ref="D80:D84" si="5">AND(B80 &gt; 60, C80 = "physics")</f>
        <v>0</v>
      </c>
      <c r="E80" s="35" t="str">
        <f t="shared" ref="E80:E84" si="6">IF(AND(B80 &gt; 60, C80 = "physics"), "Eligible","Not Eligible")</f>
        <v>Not Eligible</v>
      </c>
      <c r="K80" s="35" t="s">
        <v>61</v>
      </c>
      <c r="L80" s="33">
        <v>23</v>
      </c>
      <c r="M80" s="33">
        <v>34</v>
      </c>
      <c r="N80" s="34">
        <v>10</v>
      </c>
    </row>
    <row r="81" spans="2:14" x14ac:dyDescent="0.25">
      <c r="B81" s="44">
        <v>45</v>
      </c>
      <c r="C81" s="44" t="s">
        <v>142</v>
      </c>
      <c r="D81" s="35" t="b">
        <f t="shared" si="5"/>
        <v>0</v>
      </c>
      <c r="E81" s="35" t="str">
        <f t="shared" si="6"/>
        <v>Not Eligible</v>
      </c>
      <c r="K81" s="35" t="s">
        <v>62</v>
      </c>
      <c r="L81" s="33">
        <v>97</v>
      </c>
      <c r="M81" s="33">
        <v>41</v>
      </c>
      <c r="N81" s="34">
        <v>45</v>
      </c>
    </row>
    <row r="82" spans="2:14" x14ac:dyDescent="0.25">
      <c r="B82" s="44">
        <v>75</v>
      </c>
      <c r="C82" s="44" t="s">
        <v>143</v>
      </c>
      <c r="D82" s="35" t="b">
        <f t="shared" si="5"/>
        <v>0</v>
      </c>
      <c r="E82" s="35" t="str">
        <f t="shared" si="6"/>
        <v>Not Eligible</v>
      </c>
      <c r="K82" s="35" t="s">
        <v>65</v>
      </c>
      <c r="L82" s="33">
        <v>42</v>
      </c>
      <c r="M82" s="33">
        <v>32</v>
      </c>
      <c r="N82" s="34">
        <v>20</v>
      </c>
    </row>
    <row r="83" spans="2:14" x14ac:dyDescent="0.25">
      <c r="B83" s="44">
        <v>95</v>
      </c>
      <c r="C83" s="44" t="s">
        <v>140</v>
      </c>
      <c r="D83" s="35" t="b">
        <f t="shared" si="5"/>
        <v>1</v>
      </c>
      <c r="E83" s="35" t="str">
        <f t="shared" si="6"/>
        <v>Eligible</v>
      </c>
      <c r="K83" s="35"/>
      <c r="L83" s="35"/>
      <c r="M83" s="35"/>
      <c r="N83" s="35"/>
    </row>
    <row r="84" spans="2:14" x14ac:dyDescent="0.25">
      <c r="B84" s="44">
        <v>25</v>
      </c>
      <c r="C84" s="44" t="s">
        <v>144</v>
      </c>
      <c r="D84" s="35" t="b">
        <f t="shared" si="5"/>
        <v>0</v>
      </c>
      <c r="E84" s="35" t="str">
        <f t="shared" si="6"/>
        <v>Not Eligible</v>
      </c>
      <c r="K84" t="s">
        <v>135</v>
      </c>
    </row>
    <row r="86" spans="2:14" x14ac:dyDescent="0.25">
      <c r="K86" t="s">
        <v>136</v>
      </c>
    </row>
    <row r="87" spans="2:14" x14ac:dyDescent="0.25">
      <c r="K87" t="s">
        <v>137</v>
      </c>
    </row>
    <row r="122" spans="2:2" x14ac:dyDescent="0.25">
      <c r="B122" t="s">
        <v>191</v>
      </c>
    </row>
  </sheetData>
  <mergeCells count="51">
    <mergeCell ref="B61:C61"/>
    <mergeCell ref="C70:E70"/>
    <mergeCell ref="B42:C42"/>
    <mergeCell ref="B26:D26"/>
    <mergeCell ref="E26:I26"/>
    <mergeCell ref="B31:D31"/>
    <mergeCell ref="B32:D32"/>
    <mergeCell ref="B28:D28"/>
    <mergeCell ref="B29:D29"/>
    <mergeCell ref="B30:D30"/>
    <mergeCell ref="J26:K26"/>
    <mergeCell ref="E29:I29"/>
    <mergeCell ref="E30:I30"/>
    <mergeCell ref="E31:I31"/>
    <mergeCell ref="E32:I32"/>
    <mergeCell ref="J29:K29"/>
    <mergeCell ref="J30:K30"/>
    <mergeCell ref="J31:K31"/>
    <mergeCell ref="J32:K32"/>
    <mergeCell ref="B24:D24"/>
    <mergeCell ref="B25:D25"/>
    <mergeCell ref="B27:D27"/>
    <mergeCell ref="B21:D21"/>
    <mergeCell ref="B22:D22"/>
    <mergeCell ref="B23:D23"/>
    <mergeCell ref="E24:I24"/>
    <mergeCell ref="E25:I25"/>
    <mergeCell ref="E27:I27"/>
    <mergeCell ref="E28:I28"/>
    <mergeCell ref="J20:K20"/>
    <mergeCell ref="E20:I20"/>
    <mergeCell ref="J21:K21"/>
    <mergeCell ref="J22:K22"/>
    <mergeCell ref="E21:I21"/>
    <mergeCell ref="E22:I22"/>
    <mergeCell ref="E23:I23"/>
    <mergeCell ref="J23:K23"/>
    <mergeCell ref="J24:K24"/>
    <mergeCell ref="J25:K25"/>
    <mergeCell ref="J27:K27"/>
    <mergeCell ref="J28:K28"/>
    <mergeCell ref="B20:D20"/>
    <mergeCell ref="B3:C3"/>
    <mergeCell ref="C10:E10"/>
    <mergeCell ref="B14:C14"/>
    <mergeCell ref="J19:K19"/>
    <mergeCell ref="J18:K18"/>
    <mergeCell ref="E18:I18"/>
    <mergeCell ref="E19:I19"/>
    <mergeCell ref="B18:D18"/>
    <mergeCell ref="B19:D19"/>
  </mergeCells>
  <pageMargins left="0.7" right="0.7" top="0.75" bottom="0.75" header="0.3" footer="0.3"/>
  <ignoredErrors>
    <ignoredError sqref="J35 F11:F12" evalError="1"/>
    <ignoredError sqref="J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F673-38D3-4308-95CA-4D53C3C12963}">
  <dimension ref="B2:M32"/>
  <sheetViews>
    <sheetView topLeftCell="C29" zoomScale="175" zoomScaleNormal="175" workbookViewId="0">
      <selection activeCell="H32" sqref="H32"/>
    </sheetView>
  </sheetViews>
  <sheetFormatPr defaultRowHeight="13.8" x14ac:dyDescent="0.25"/>
  <sheetData>
    <row r="2" spans="2:13" ht="18.600000000000001" customHeight="1" x14ac:dyDescent="0.25">
      <c r="B2" s="129" t="s">
        <v>146</v>
      </c>
      <c r="C2" s="129"/>
      <c r="D2" s="129"/>
      <c r="E2" s="129"/>
    </row>
    <row r="3" spans="2:13" x14ac:dyDescent="0.25">
      <c r="B3" s="129"/>
      <c r="C3" s="129"/>
      <c r="D3" s="129"/>
      <c r="E3" s="129"/>
    </row>
    <row r="5" spans="2:13" x14ac:dyDescent="0.25">
      <c r="C5" t="s">
        <v>147</v>
      </c>
    </row>
    <row r="7" spans="2:13" x14ac:dyDescent="0.25">
      <c r="D7" t="s">
        <v>157</v>
      </c>
      <c r="J7" t="s">
        <v>152</v>
      </c>
    </row>
    <row r="8" spans="2:13" ht="14.4" x14ac:dyDescent="0.3">
      <c r="D8" s="79" t="s">
        <v>149</v>
      </c>
      <c r="E8" t="s">
        <v>148</v>
      </c>
      <c r="J8" s="36" t="str">
        <f>_xlfn.CONCAT(L8, M8)</f>
        <v>HelloIdrees</v>
      </c>
      <c r="K8" s="36"/>
      <c r="L8" s="36" t="s">
        <v>150</v>
      </c>
      <c r="M8" s="36" t="s">
        <v>65</v>
      </c>
    </row>
    <row r="9" spans="2:13" x14ac:dyDescent="0.25">
      <c r="D9" s="46"/>
      <c r="E9" t="s">
        <v>151</v>
      </c>
    </row>
    <row r="10" spans="2:13" x14ac:dyDescent="0.25">
      <c r="D10" s="46"/>
    </row>
    <row r="11" spans="2:13" ht="14.4" x14ac:dyDescent="0.3">
      <c r="D11" s="79" t="s">
        <v>156</v>
      </c>
      <c r="E11" t="s">
        <v>153</v>
      </c>
      <c r="J11" t="str">
        <f>_xlfn.TEXTJOIN(" ", TRUE, L11,M11)</f>
        <v>Hello Idrees</v>
      </c>
      <c r="L11" s="36" t="s">
        <v>150</v>
      </c>
      <c r="M11" s="36" t="s">
        <v>65</v>
      </c>
    </row>
    <row r="12" spans="2:13" x14ac:dyDescent="0.25">
      <c r="D12" s="46"/>
    </row>
    <row r="13" spans="2:13" ht="14.4" x14ac:dyDescent="0.3">
      <c r="D13" s="46" t="s">
        <v>154</v>
      </c>
      <c r="E13" s="35" t="s">
        <v>155</v>
      </c>
      <c r="J13" t="str">
        <f xml:space="preserve"> L13 &amp; " " &amp; M13</f>
        <v>Hello Idrees</v>
      </c>
      <c r="L13" s="36" t="s">
        <v>150</v>
      </c>
      <c r="M13" s="36" t="s">
        <v>65</v>
      </c>
    </row>
    <row r="15" spans="2:13" x14ac:dyDescent="0.25">
      <c r="F15" t="str">
        <f xml:space="preserve"> "Hello" &amp; "Idrees"</f>
        <v>HelloIdrees</v>
      </c>
    </row>
    <row r="17" spans="2:12" x14ac:dyDescent="0.25">
      <c r="B17" t="s">
        <v>163</v>
      </c>
      <c r="D17" s="80" t="s">
        <v>158</v>
      </c>
      <c r="E17" s="47" t="s">
        <v>164</v>
      </c>
      <c r="H17" s="34" t="str">
        <f>LEFT(B17, 5)</f>
        <v>Excel</v>
      </c>
    </row>
    <row r="18" spans="2:12" x14ac:dyDescent="0.25">
      <c r="B18" t="s">
        <v>165</v>
      </c>
      <c r="D18" s="80" t="s">
        <v>160</v>
      </c>
      <c r="E18" s="47" t="s">
        <v>166</v>
      </c>
      <c r="H18" s="34" t="str">
        <f>MID(B18, 5, 4)</f>
        <v>1223</v>
      </c>
      <c r="K18" s="35" t="s">
        <v>165</v>
      </c>
      <c r="L18" s="35" t="str">
        <f t="shared" ref="L18:L23" si="0">MID(K18,5,4)</f>
        <v>1223</v>
      </c>
    </row>
    <row r="19" spans="2:12" x14ac:dyDescent="0.25">
      <c r="B19" s="35" t="s">
        <v>172</v>
      </c>
      <c r="D19" s="80" t="s">
        <v>159</v>
      </c>
      <c r="E19" s="47" t="s">
        <v>171</v>
      </c>
      <c r="H19" s="34" t="str">
        <f>RIGHT(B19,4)</f>
        <v>xlsx</v>
      </c>
      <c r="K19" s="35" t="s">
        <v>167</v>
      </c>
      <c r="L19" s="35" t="str">
        <f t="shared" si="0"/>
        <v>1223</v>
      </c>
    </row>
    <row r="20" spans="2:12" x14ac:dyDescent="0.25">
      <c r="D20" s="80"/>
      <c r="H20" s="34"/>
      <c r="K20" s="35" t="s">
        <v>169</v>
      </c>
      <c r="L20" s="35" t="str">
        <f t="shared" si="0"/>
        <v>3454</v>
      </c>
    </row>
    <row r="21" spans="2:12" x14ac:dyDescent="0.25">
      <c r="B21" s="48" t="s">
        <v>176</v>
      </c>
      <c r="D21" s="80" t="s">
        <v>161</v>
      </c>
      <c r="E21" s="47" t="s">
        <v>173</v>
      </c>
      <c r="H21" s="34">
        <f>LEN(B21)</f>
        <v>12</v>
      </c>
      <c r="K21" s="35" t="s">
        <v>168</v>
      </c>
      <c r="L21" s="35" t="str">
        <f t="shared" si="0"/>
        <v>1223</v>
      </c>
    </row>
    <row r="22" spans="2:12" x14ac:dyDescent="0.25">
      <c r="B22" t="s">
        <v>177</v>
      </c>
      <c r="D22" s="80" t="s">
        <v>162</v>
      </c>
      <c r="E22" s="47" t="s">
        <v>174</v>
      </c>
      <c r="H22" s="34" t="str">
        <f xml:space="preserve"> TRIM(B22)</f>
        <v>excel tips</v>
      </c>
      <c r="K22" s="35" t="s">
        <v>170</v>
      </c>
      <c r="L22" s="35" t="str">
        <f t="shared" si="0"/>
        <v>1223</v>
      </c>
    </row>
    <row r="23" spans="2:12" x14ac:dyDescent="0.25">
      <c r="D23" s="80"/>
      <c r="E23" s="47" t="s">
        <v>175</v>
      </c>
      <c r="K23" s="35" t="s">
        <v>165</v>
      </c>
      <c r="L23" s="35" t="str">
        <f t="shared" si="0"/>
        <v>1223</v>
      </c>
    </row>
    <row r="24" spans="2:12" x14ac:dyDescent="0.25">
      <c r="D24" s="80"/>
    </row>
    <row r="25" spans="2:12" x14ac:dyDescent="0.25">
      <c r="B25" t="s">
        <v>183</v>
      </c>
      <c r="D25" s="80" t="s">
        <v>178</v>
      </c>
      <c r="E25" s="47" t="s">
        <v>184</v>
      </c>
      <c r="H25" t="str">
        <f>UPPER(B25)</f>
        <v>HELLO IDREES</v>
      </c>
    </row>
    <row r="26" spans="2:12" x14ac:dyDescent="0.25">
      <c r="B26" s="35" t="s">
        <v>181</v>
      </c>
      <c r="D26" s="80" t="s">
        <v>179</v>
      </c>
      <c r="E26" s="47" t="s">
        <v>185</v>
      </c>
      <c r="H26" t="str">
        <f>LOWER(B26)</f>
        <v xml:space="preserve">hello idrees </v>
      </c>
    </row>
    <row r="27" spans="2:12" x14ac:dyDescent="0.25">
      <c r="B27" t="s">
        <v>182</v>
      </c>
      <c r="D27" s="80" t="s">
        <v>180</v>
      </c>
      <c r="E27" s="47" t="s">
        <v>186</v>
      </c>
      <c r="H27" t="str">
        <f>PROPER(B27)</f>
        <v>Hello Idrees</v>
      </c>
    </row>
    <row r="28" spans="2:12" x14ac:dyDescent="0.25">
      <c r="B28" s="35" t="s">
        <v>182</v>
      </c>
      <c r="D28" s="80" t="s">
        <v>187</v>
      </c>
      <c r="E28" s="47" t="s">
        <v>188</v>
      </c>
      <c r="H28">
        <f>FIND("e", B28)</f>
        <v>2</v>
      </c>
    </row>
    <row r="29" spans="2:12" x14ac:dyDescent="0.25">
      <c r="E29" s="47" t="s">
        <v>189</v>
      </c>
    </row>
    <row r="30" spans="2:12" x14ac:dyDescent="0.25">
      <c r="E30" s="47" t="s">
        <v>190</v>
      </c>
    </row>
    <row r="31" spans="2:12" x14ac:dyDescent="0.25">
      <c r="E31" s="47" t="s">
        <v>192</v>
      </c>
    </row>
    <row r="32" spans="2:12" x14ac:dyDescent="0.25">
      <c r="H32">
        <f>FIND("a", "beautiful")</f>
        <v>3</v>
      </c>
    </row>
  </sheetData>
  <mergeCells count="1">
    <mergeCell ref="B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CD76-13DF-47AC-A8EF-04D36B174787}">
  <dimension ref="B3:I109"/>
  <sheetViews>
    <sheetView topLeftCell="A74" zoomScale="145" zoomScaleNormal="145" workbookViewId="0">
      <selection activeCell="G67" sqref="G67"/>
    </sheetView>
  </sheetViews>
  <sheetFormatPr defaultRowHeight="13.8" x14ac:dyDescent="0.25"/>
  <cols>
    <col min="3" max="3" width="20.796875" customWidth="1"/>
    <col min="4" max="4" width="17.796875" customWidth="1"/>
    <col min="5" max="5" width="18.19921875" customWidth="1"/>
    <col min="6" max="6" width="19.796875" customWidth="1"/>
    <col min="7" max="7" width="14.19921875" customWidth="1"/>
  </cols>
  <sheetData>
    <row r="3" spans="2:9" x14ac:dyDescent="0.25">
      <c r="B3" s="131" t="s">
        <v>193</v>
      </c>
      <c r="C3" s="131"/>
      <c r="D3" s="131"/>
      <c r="E3" s="131"/>
    </row>
    <row r="4" spans="2:9" x14ac:dyDescent="0.25">
      <c r="B4" s="131"/>
      <c r="C4" s="131"/>
      <c r="D4" s="131"/>
      <c r="E4" s="131"/>
    </row>
    <row r="6" spans="2:9" x14ac:dyDescent="0.25">
      <c r="C6" s="80" t="s">
        <v>194</v>
      </c>
      <c r="D6" t="s">
        <v>227</v>
      </c>
    </row>
    <row r="7" spans="2:9" x14ac:dyDescent="0.25">
      <c r="C7" s="80" t="s">
        <v>195</v>
      </c>
      <c r="D7" t="s">
        <v>228</v>
      </c>
    </row>
    <row r="8" spans="2:9" x14ac:dyDescent="0.25">
      <c r="C8" s="80" t="s">
        <v>196</v>
      </c>
      <c r="D8" t="s">
        <v>198</v>
      </c>
    </row>
    <row r="9" spans="2:9" x14ac:dyDescent="0.25">
      <c r="C9" s="80" t="s">
        <v>197</v>
      </c>
      <c r="D9" t="s">
        <v>199</v>
      </c>
    </row>
    <row r="13" spans="2:9" x14ac:dyDescent="0.25">
      <c r="B13" t="s">
        <v>200</v>
      </c>
    </row>
    <row r="15" spans="2:9" x14ac:dyDescent="0.25">
      <c r="B15" s="34" t="s">
        <v>201</v>
      </c>
      <c r="C15" s="34"/>
      <c r="D15" s="34"/>
      <c r="E15" s="34" t="s">
        <v>202</v>
      </c>
    </row>
    <row r="16" spans="2:9" x14ac:dyDescent="0.25">
      <c r="B16" s="33">
        <v>1</v>
      </c>
      <c r="C16" s="49">
        <v>1</v>
      </c>
      <c r="E16" s="34">
        <v>0</v>
      </c>
      <c r="F16" s="51">
        <v>0</v>
      </c>
      <c r="G16" s="53">
        <v>0</v>
      </c>
      <c r="I16" s="57"/>
    </row>
    <row r="17" spans="2:9" x14ac:dyDescent="0.25">
      <c r="B17" s="33">
        <v>2</v>
      </c>
      <c r="C17" s="49">
        <v>2</v>
      </c>
      <c r="E17" s="34">
        <v>0.1</v>
      </c>
      <c r="F17" s="51">
        <v>0.1</v>
      </c>
      <c r="G17" s="53">
        <v>0.1</v>
      </c>
      <c r="I17" s="57"/>
    </row>
    <row r="18" spans="2:9" x14ac:dyDescent="0.25">
      <c r="B18" s="33">
        <v>3</v>
      </c>
      <c r="C18" s="49">
        <v>3</v>
      </c>
      <c r="E18" s="54">
        <v>0.2</v>
      </c>
      <c r="F18" s="51">
        <v>0.19999999999999998</v>
      </c>
      <c r="G18" s="53">
        <v>0.19999999999999998</v>
      </c>
      <c r="I18" s="57"/>
    </row>
    <row r="19" spans="2:9" x14ac:dyDescent="0.25">
      <c r="B19" s="33">
        <v>4</v>
      </c>
      <c r="C19" s="49">
        <v>4</v>
      </c>
      <c r="E19" s="34">
        <v>0.5</v>
      </c>
      <c r="F19" s="51">
        <v>0.5</v>
      </c>
      <c r="G19" s="53">
        <v>0.5</v>
      </c>
      <c r="I19" s="57"/>
    </row>
    <row r="20" spans="2:9" x14ac:dyDescent="0.25">
      <c r="B20" s="33">
        <v>46277</v>
      </c>
      <c r="C20" s="52">
        <v>46277</v>
      </c>
      <c r="E20" s="34">
        <v>0.625</v>
      </c>
      <c r="F20" s="51">
        <v>0.625</v>
      </c>
      <c r="G20" s="53">
        <v>0.625</v>
      </c>
      <c r="I20" s="57"/>
    </row>
    <row r="21" spans="2:9" x14ac:dyDescent="0.25">
      <c r="B21" s="33">
        <v>46278</v>
      </c>
      <c r="C21" s="52">
        <v>46278</v>
      </c>
      <c r="E21" s="54">
        <v>0.75</v>
      </c>
      <c r="F21" s="51">
        <v>0.75</v>
      </c>
      <c r="G21" s="53">
        <v>0.75</v>
      </c>
      <c r="I21" s="57"/>
    </row>
    <row r="22" spans="2:9" x14ac:dyDescent="0.25">
      <c r="B22" s="33">
        <v>46279</v>
      </c>
      <c r="C22" s="52">
        <v>46279</v>
      </c>
      <c r="E22" s="54">
        <v>0.9</v>
      </c>
      <c r="F22" s="51">
        <v>0.9</v>
      </c>
      <c r="G22" s="53">
        <v>0.9</v>
      </c>
      <c r="I22" s="57"/>
    </row>
    <row r="23" spans="2:9" x14ac:dyDescent="0.25">
      <c r="B23" s="33">
        <v>46280</v>
      </c>
      <c r="C23" s="52">
        <v>46280</v>
      </c>
      <c r="E23" s="54">
        <v>0.95</v>
      </c>
      <c r="F23" s="51">
        <v>0.95</v>
      </c>
      <c r="G23" s="53">
        <v>0.95</v>
      </c>
      <c r="I23" s="57"/>
    </row>
    <row r="24" spans="2:9" x14ac:dyDescent="0.25">
      <c r="C24" s="52"/>
      <c r="E24" s="50"/>
    </row>
    <row r="25" spans="2:9" ht="16.8" x14ac:dyDescent="0.4">
      <c r="C25" s="56">
        <v>45901</v>
      </c>
    </row>
    <row r="26" spans="2:9" x14ac:dyDescent="0.25">
      <c r="C26" s="52"/>
    </row>
    <row r="27" spans="2:9" x14ac:dyDescent="0.25">
      <c r="C27" s="52"/>
    </row>
    <row r="28" spans="2:9" x14ac:dyDescent="0.25">
      <c r="E28" s="81" t="s">
        <v>205</v>
      </c>
      <c r="F28" s="34"/>
      <c r="G28" s="81" t="s">
        <v>206</v>
      </c>
    </row>
    <row r="29" spans="2:9" x14ac:dyDescent="0.25">
      <c r="B29" t="s">
        <v>203</v>
      </c>
      <c r="E29" s="49">
        <f ca="1" xml:space="preserve"> TODAY()</f>
        <v>46284</v>
      </c>
      <c r="G29" s="49">
        <v>46277</v>
      </c>
      <c r="H29" s="35"/>
    </row>
    <row r="30" spans="2:9" x14ac:dyDescent="0.25">
      <c r="B30" t="s">
        <v>204</v>
      </c>
      <c r="E30" s="58">
        <f ca="1">NOW()</f>
        <v>46284.492105902777</v>
      </c>
      <c r="F30" s="58">
        <v>46278.427407407406</v>
      </c>
      <c r="G30" s="50">
        <v>0.49722222222222223</v>
      </c>
    </row>
    <row r="32" spans="2:9" x14ac:dyDescent="0.25">
      <c r="G32" t="s">
        <v>224</v>
      </c>
      <c r="H32" t="s">
        <v>225</v>
      </c>
    </row>
    <row r="33" spans="2:8" x14ac:dyDescent="0.25">
      <c r="B33" s="132" t="s">
        <v>211</v>
      </c>
      <c r="C33" s="132"/>
      <c r="G33" t="s">
        <v>222</v>
      </c>
      <c r="H33" t="s">
        <v>223</v>
      </c>
    </row>
    <row r="34" spans="2:8" x14ac:dyDescent="0.25">
      <c r="B34" s="132"/>
      <c r="C34" s="132"/>
      <c r="D34" t="s">
        <v>212</v>
      </c>
      <c r="G34" t="s">
        <v>221</v>
      </c>
      <c r="H34">
        <v>22</v>
      </c>
    </row>
    <row r="35" spans="2:8" x14ac:dyDescent="0.25">
      <c r="B35" t="s">
        <v>268</v>
      </c>
      <c r="E35" s="58"/>
      <c r="G35" t="s">
        <v>215</v>
      </c>
      <c r="H35" t="s">
        <v>216</v>
      </c>
    </row>
    <row r="36" spans="2:8" x14ac:dyDescent="0.25">
      <c r="D36" s="35" t="s">
        <v>214</v>
      </c>
      <c r="G36" t="s">
        <v>219</v>
      </c>
      <c r="H36" t="s">
        <v>220</v>
      </c>
    </row>
    <row r="39" spans="2:8" ht="14.4" x14ac:dyDescent="0.3">
      <c r="C39" s="61"/>
      <c r="D39" s="63" t="s">
        <v>213</v>
      </c>
      <c r="E39" s="45" t="s">
        <v>217</v>
      </c>
      <c r="F39" s="45" t="s">
        <v>218</v>
      </c>
      <c r="G39" s="63" t="s">
        <v>226</v>
      </c>
    </row>
    <row r="40" spans="2:8" ht="27.6" customHeight="1" x14ac:dyDescent="0.25">
      <c r="C40" s="62">
        <v>45679.604166666664</v>
      </c>
      <c r="D40" s="62" t="str">
        <f>TEXT(C40,"dd-mm-yyyy" )</f>
        <v>22-01-2025</v>
      </c>
      <c r="E40" s="62" t="str">
        <f>TEXT(D40,"dd-mmm-yyyy" )</f>
        <v>22-Jan-2025</v>
      </c>
      <c r="F40" s="62" t="str">
        <f>TEXT(E40,"dd-mmmm-yyyy" )</f>
        <v>22-January-2025</v>
      </c>
      <c r="G40" s="62" t="str">
        <f>TEXT(C40,"hh:mm:ss" )</f>
        <v>14:30:00</v>
      </c>
    </row>
    <row r="41" spans="2:8" x14ac:dyDescent="0.25">
      <c r="C41" s="62">
        <v>44561.34375</v>
      </c>
      <c r="D41" s="62" t="str">
        <f>TEXT(C41,"dd-mm-yyyy" )</f>
        <v>31-12-2021</v>
      </c>
      <c r="E41" s="62" t="str">
        <f t="shared" ref="E41:E42" si="0">TEXT(D41,"dd-mmm-yyyy" )</f>
        <v>31-Dec-2021</v>
      </c>
      <c r="F41" s="62" t="str">
        <f t="shared" ref="F41:F42" si="1">TEXT(E41,"dd-mmmm-yyyy" )</f>
        <v>31-December-2021</v>
      </c>
      <c r="G41" s="61"/>
    </row>
    <row r="42" spans="2:8" x14ac:dyDescent="0.25">
      <c r="C42" s="62">
        <v>45056.781597222223</v>
      </c>
      <c r="D42" s="62" t="str">
        <f t="shared" ref="D42" si="2">TEXT(C42,"dd-mm-yyyy" )</f>
        <v>10-05-2023</v>
      </c>
      <c r="E42" s="62" t="str">
        <f t="shared" si="0"/>
        <v>10-May-2023</v>
      </c>
      <c r="F42" s="62" t="str">
        <f t="shared" si="1"/>
        <v>10-May-2023</v>
      </c>
      <c r="G42" s="61"/>
    </row>
    <row r="45" spans="2:8" ht="14.4" x14ac:dyDescent="0.3">
      <c r="C45" s="64">
        <f ca="1">NOW()</f>
        <v>46284.492105902777</v>
      </c>
      <c r="E45" s="34" t="str">
        <f ca="1">TEXT(C45,"hh:mm:ss" )</f>
        <v>11:48:38</v>
      </c>
    </row>
    <row r="46" spans="2:8" x14ac:dyDescent="0.25">
      <c r="D46" t="s">
        <v>229</v>
      </c>
      <c r="E46">
        <f ca="1">HOUR(C45)</f>
        <v>11</v>
      </c>
    </row>
    <row r="47" spans="2:8" x14ac:dyDescent="0.25">
      <c r="D47" t="s">
        <v>230</v>
      </c>
      <c r="E47">
        <f ca="1">MINUTE(C45)</f>
        <v>48</v>
      </c>
    </row>
    <row r="48" spans="2:8" x14ac:dyDescent="0.25">
      <c r="D48" t="s">
        <v>231</v>
      </c>
      <c r="E48">
        <f ca="1">DAY(C45)</f>
        <v>19</v>
      </c>
    </row>
    <row r="51" spans="2:6" x14ac:dyDescent="0.25">
      <c r="C51" s="70" t="str">
        <f ca="1" xml:space="preserve"> "Today is "         &amp;          TEXT(TODAY(),"dddd, mmmm dd, yyyy")       &amp;         " and the current time is "      &amp;TEXT(NOW(),"hh:mm:ss AM/PM")</f>
        <v>Today is Saturday, September 19, 2026 and the current time is 11:48:38 AM</v>
      </c>
    </row>
    <row r="53" spans="2:6" ht="14.4" x14ac:dyDescent="0.3">
      <c r="C53" s="32" t="s">
        <v>267</v>
      </c>
    </row>
    <row r="54" spans="2:6" x14ac:dyDescent="0.25">
      <c r="D54" s="67" t="s">
        <v>265</v>
      </c>
      <c r="F54" s="67" t="s">
        <v>266</v>
      </c>
    </row>
    <row r="56" spans="2:6" ht="14.4" x14ac:dyDescent="0.3">
      <c r="B56" s="36" t="s">
        <v>232</v>
      </c>
    </row>
    <row r="57" spans="2:6" x14ac:dyDescent="0.25">
      <c r="C57" s="130" t="s">
        <v>240</v>
      </c>
      <c r="D57" s="130"/>
      <c r="E57" s="130"/>
    </row>
    <row r="58" spans="2:6" ht="14.4" x14ac:dyDescent="0.3">
      <c r="C58" s="61"/>
      <c r="D58" s="45" t="s">
        <v>238</v>
      </c>
      <c r="E58" s="63" t="s">
        <v>239</v>
      </c>
    </row>
    <row r="59" spans="2:6" x14ac:dyDescent="0.25">
      <c r="C59" s="44" t="s">
        <v>233</v>
      </c>
      <c r="D59" s="65">
        <v>46308</v>
      </c>
      <c r="E59" s="66">
        <f ca="1" xml:space="preserve"> D59 - TODAY()</f>
        <v>24</v>
      </c>
      <c r="F59" s="35" t="s">
        <v>241</v>
      </c>
    </row>
    <row r="60" spans="2:6" x14ac:dyDescent="0.25">
      <c r="C60" s="44" t="s">
        <v>234</v>
      </c>
      <c r="D60" s="65">
        <v>46370</v>
      </c>
      <c r="E60" s="66">
        <f t="shared" ref="E60:E63" ca="1" si="3" xml:space="preserve"> D60 - TODAY()</f>
        <v>86</v>
      </c>
    </row>
    <row r="61" spans="2:6" x14ac:dyDescent="0.25">
      <c r="C61" s="44" t="s">
        <v>235</v>
      </c>
      <c r="D61" s="65">
        <v>46341</v>
      </c>
      <c r="E61" s="66">
        <f t="shared" ca="1" si="3"/>
        <v>57</v>
      </c>
    </row>
    <row r="62" spans="2:6" x14ac:dyDescent="0.25">
      <c r="B62" s="35"/>
      <c r="C62" s="44" t="s">
        <v>236</v>
      </c>
      <c r="D62" s="65">
        <v>46342</v>
      </c>
      <c r="E62" s="66">
        <f t="shared" ca="1" si="3"/>
        <v>58</v>
      </c>
      <c r="F62" s="35"/>
    </row>
    <row r="63" spans="2:6" x14ac:dyDescent="0.25">
      <c r="B63" s="35"/>
      <c r="C63" s="44" t="s">
        <v>237</v>
      </c>
      <c r="D63" s="65">
        <v>46282</v>
      </c>
      <c r="E63" s="66">
        <f t="shared" ca="1" si="3"/>
        <v>-2</v>
      </c>
      <c r="F63" s="35"/>
    </row>
    <row r="64" spans="2:6" x14ac:dyDescent="0.25">
      <c r="B64" s="35"/>
      <c r="C64" s="35"/>
      <c r="D64" s="35"/>
      <c r="E64" s="35"/>
      <c r="F64" s="35"/>
    </row>
    <row r="65" spans="2:7" x14ac:dyDescent="0.25">
      <c r="B65" s="35"/>
      <c r="C65" s="35"/>
      <c r="D65" s="35"/>
      <c r="E65" s="35"/>
      <c r="F65" s="35"/>
    </row>
    <row r="66" spans="2:7" x14ac:dyDescent="0.25">
      <c r="B66" s="35" t="s">
        <v>232</v>
      </c>
      <c r="C66" s="35"/>
      <c r="D66" s="35"/>
      <c r="E66" s="35"/>
      <c r="F66" s="35"/>
    </row>
    <row r="67" spans="2:7" x14ac:dyDescent="0.25">
      <c r="B67" s="35"/>
      <c r="C67" s="69" t="s">
        <v>242</v>
      </c>
      <c r="D67" s="69"/>
      <c r="E67" s="69"/>
      <c r="F67" s="35"/>
      <c r="G67" s="82" t="s">
        <v>278</v>
      </c>
    </row>
    <row r="68" spans="2:7" ht="14.4" x14ac:dyDescent="0.3">
      <c r="B68" s="35"/>
      <c r="C68" s="60" t="s">
        <v>24</v>
      </c>
      <c r="D68" s="60" t="s">
        <v>246</v>
      </c>
      <c r="E68" s="60" t="s">
        <v>247</v>
      </c>
      <c r="F68" s="35"/>
    </row>
    <row r="69" spans="2:7" x14ac:dyDescent="0.25">
      <c r="B69" s="35"/>
      <c r="C69" s="35" t="s">
        <v>65</v>
      </c>
      <c r="D69" s="59">
        <v>33008</v>
      </c>
      <c r="E69" s="71">
        <f ca="1">DATEDIF(D69,TODAY(), "Y")</f>
        <v>36</v>
      </c>
      <c r="F69" s="68" t="s">
        <v>263</v>
      </c>
    </row>
    <row r="70" spans="2:7" x14ac:dyDescent="0.25">
      <c r="B70" s="35"/>
      <c r="C70" s="35" t="s">
        <v>243</v>
      </c>
      <c r="D70" s="59">
        <v>35201</v>
      </c>
      <c r="E70" s="71">
        <f t="shared" ref="E70:E71" ca="1" si="4">DATEDIF(D70,TODAY(), "Y")</f>
        <v>30</v>
      </c>
      <c r="F70" s="35"/>
    </row>
    <row r="71" spans="2:7" x14ac:dyDescent="0.25">
      <c r="B71" s="35"/>
      <c r="C71" s="35" t="s">
        <v>244</v>
      </c>
      <c r="D71" s="59">
        <v>35932</v>
      </c>
      <c r="E71" s="71">
        <f t="shared" ca="1" si="4"/>
        <v>28</v>
      </c>
      <c r="F71" s="35"/>
    </row>
    <row r="72" spans="2:7" x14ac:dyDescent="0.25">
      <c r="B72" s="35"/>
      <c r="C72" s="35" t="s">
        <v>245</v>
      </c>
      <c r="D72" s="59">
        <v>36664</v>
      </c>
      <c r="E72" s="71">
        <f ca="1">DATEDIF(D72,TODAY(), "Y")</f>
        <v>26</v>
      </c>
      <c r="F72" s="35"/>
    </row>
    <row r="73" spans="2:7" x14ac:dyDescent="0.25">
      <c r="B73" s="35"/>
      <c r="C73" s="35"/>
      <c r="D73" s="35"/>
      <c r="E73" s="35"/>
      <c r="F73" s="35"/>
    </row>
    <row r="74" spans="2:7" x14ac:dyDescent="0.25">
      <c r="B74" s="35"/>
      <c r="C74" s="35"/>
      <c r="D74" s="35"/>
      <c r="E74" s="35"/>
      <c r="F74" s="35"/>
    </row>
    <row r="75" spans="2:7" ht="14.4" x14ac:dyDescent="0.3">
      <c r="B75" s="36" t="s">
        <v>248</v>
      </c>
      <c r="C75" s="35"/>
      <c r="D75" s="35"/>
      <c r="E75" s="35"/>
      <c r="F75" s="35"/>
    </row>
    <row r="76" spans="2:7" x14ac:dyDescent="0.25">
      <c r="B76" s="35"/>
      <c r="C76" s="35" t="s">
        <v>249</v>
      </c>
      <c r="D76" s="35"/>
      <c r="E76" s="34">
        <f xml:space="preserve"> DATEDIF("1/1/2026","12/09/2026","D")</f>
        <v>254</v>
      </c>
      <c r="F76" s="68" t="s">
        <v>264</v>
      </c>
    </row>
    <row r="77" spans="2:7" x14ac:dyDescent="0.25">
      <c r="B77" s="35"/>
      <c r="C77" s="35"/>
      <c r="D77" s="35"/>
      <c r="E77" s="35"/>
      <c r="F77" s="35"/>
    </row>
    <row r="78" spans="2:7" x14ac:dyDescent="0.25">
      <c r="B78" s="35"/>
      <c r="C78" s="34" t="s">
        <v>250</v>
      </c>
      <c r="D78" s="35"/>
      <c r="E78" s="35"/>
      <c r="F78" s="35"/>
    </row>
    <row r="79" spans="2:7" ht="16.8" x14ac:dyDescent="0.4">
      <c r="B79" s="35"/>
      <c r="C79" s="24" t="s">
        <v>251</v>
      </c>
      <c r="D79" s="35" t="s">
        <v>257</v>
      </c>
      <c r="E79" s="35"/>
      <c r="F79" s="55"/>
    </row>
    <row r="80" spans="2:7" x14ac:dyDescent="0.25">
      <c r="B80" s="35"/>
      <c r="C80" s="24" t="s">
        <v>252</v>
      </c>
      <c r="D80" s="35" t="s">
        <v>258</v>
      </c>
      <c r="E80" s="35"/>
      <c r="F80" s="35"/>
    </row>
    <row r="81" spans="2:6" x14ac:dyDescent="0.25">
      <c r="B81" s="35"/>
      <c r="C81" s="24" t="s">
        <v>256</v>
      </c>
      <c r="D81" s="35" t="s">
        <v>259</v>
      </c>
      <c r="E81" s="35"/>
      <c r="F81" s="35"/>
    </row>
    <row r="82" spans="2:6" x14ac:dyDescent="0.25">
      <c r="B82" s="35"/>
      <c r="C82" s="24" t="s">
        <v>255</v>
      </c>
      <c r="D82" s="35" t="s">
        <v>260</v>
      </c>
      <c r="E82" s="35"/>
      <c r="F82" s="35"/>
    </row>
    <row r="83" spans="2:6" x14ac:dyDescent="0.25">
      <c r="B83" s="35"/>
      <c r="C83" s="24" t="s">
        <v>254</v>
      </c>
      <c r="D83" s="35" t="s">
        <v>261</v>
      </c>
      <c r="E83" s="35"/>
      <c r="F83" s="35"/>
    </row>
    <row r="84" spans="2:6" x14ac:dyDescent="0.25">
      <c r="B84" s="35"/>
      <c r="C84" s="24" t="s">
        <v>253</v>
      </c>
      <c r="D84" s="35" t="s">
        <v>262</v>
      </c>
      <c r="E84" s="35"/>
      <c r="F84" s="35"/>
    </row>
    <row r="85" spans="2:6" x14ac:dyDescent="0.25">
      <c r="B85" s="35"/>
      <c r="C85" s="35"/>
      <c r="D85" s="35"/>
      <c r="E85" s="35"/>
      <c r="F85" s="35"/>
    </row>
    <row r="86" spans="2:6" x14ac:dyDescent="0.25">
      <c r="B86" s="35"/>
      <c r="C86" s="35"/>
      <c r="D86" s="35"/>
      <c r="E86" s="35"/>
      <c r="F86" s="35"/>
    </row>
    <row r="87" spans="2:6" x14ac:dyDescent="0.25">
      <c r="B87" s="35"/>
      <c r="C87" s="35"/>
      <c r="D87" s="35"/>
      <c r="E87" s="35"/>
      <c r="F87" s="35"/>
    </row>
    <row r="88" spans="2:6" x14ac:dyDescent="0.25">
      <c r="B88" s="35"/>
      <c r="C88" s="35" t="s">
        <v>269</v>
      </c>
      <c r="D88" s="35"/>
      <c r="E88" s="35" t="s">
        <v>270</v>
      </c>
      <c r="F88" s="35"/>
    </row>
    <row r="89" spans="2:6" x14ac:dyDescent="0.25">
      <c r="B89" s="35"/>
      <c r="C89" s="35"/>
      <c r="D89" s="35"/>
      <c r="E89" s="35" t="s">
        <v>271</v>
      </c>
      <c r="F89" s="35"/>
    </row>
    <row r="90" spans="2:6" x14ac:dyDescent="0.25">
      <c r="B90" s="35"/>
      <c r="C90" s="35" t="s">
        <v>272</v>
      </c>
      <c r="D90" s="35"/>
      <c r="E90" s="35"/>
      <c r="F90" s="35"/>
    </row>
    <row r="91" spans="2:6" x14ac:dyDescent="0.25">
      <c r="B91" s="35"/>
      <c r="C91" s="35"/>
      <c r="D91" s="35"/>
      <c r="E91" s="35"/>
      <c r="F91" s="35"/>
    </row>
    <row r="92" spans="2:6" x14ac:dyDescent="0.25">
      <c r="B92" s="35"/>
      <c r="E92" s="35"/>
      <c r="F92" s="35"/>
    </row>
    <row r="93" spans="2:6" x14ac:dyDescent="0.25">
      <c r="B93" s="35"/>
      <c r="C93" s="73"/>
      <c r="D93" s="75" t="s">
        <v>273</v>
      </c>
      <c r="E93" s="35"/>
      <c r="F93" s="35"/>
    </row>
    <row r="94" spans="2:6" x14ac:dyDescent="0.25">
      <c r="B94" s="35"/>
      <c r="C94" s="74">
        <v>46277</v>
      </c>
      <c r="D94" s="76">
        <f>WORKDAY(C94, 10, {"24/09/2026","28/09/2026"})</f>
        <v>46294</v>
      </c>
      <c r="E94" s="35"/>
      <c r="F94" s="35"/>
    </row>
    <row r="95" spans="2:6" x14ac:dyDescent="0.25">
      <c r="B95" s="35"/>
      <c r="C95" s="35"/>
      <c r="D95" s="35"/>
      <c r="E95" s="35" t="s">
        <v>274</v>
      </c>
      <c r="F95" s="35"/>
    </row>
    <row r="96" spans="2:6" x14ac:dyDescent="0.25">
      <c r="B96" s="35"/>
      <c r="C96" s="35"/>
      <c r="D96" s="35"/>
      <c r="E96" s="35"/>
      <c r="F96" s="35" t="s">
        <v>275</v>
      </c>
    </row>
    <row r="97" spans="2:6" x14ac:dyDescent="0.25">
      <c r="B97" s="35"/>
      <c r="C97" s="35"/>
      <c r="D97" s="35"/>
      <c r="E97" s="35"/>
      <c r="F97" s="35" t="s">
        <v>276</v>
      </c>
    </row>
    <row r="98" spans="2:6" x14ac:dyDescent="0.25">
      <c r="B98" s="35"/>
      <c r="C98" s="35"/>
      <c r="D98" s="35"/>
      <c r="E98" s="35"/>
      <c r="F98" s="35"/>
    </row>
    <row r="99" spans="2:6" x14ac:dyDescent="0.25">
      <c r="B99" s="35"/>
      <c r="C99" s="35"/>
      <c r="D99" s="35"/>
      <c r="E99" s="35"/>
      <c r="F99" s="35"/>
    </row>
    <row r="100" spans="2:6" x14ac:dyDescent="0.25">
      <c r="B100" s="35"/>
      <c r="C100" s="35"/>
      <c r="D100" s="35"/>
      <c r="E100" s="35"/>
      <c r="F100" s="35"/>
    </row>
    <row r="101" spans="2:6" x14ac:dyDescent="0.25">
      <c r="B101" s="35"/>
      <c r="C101" s="35"/>
      <c r="D101" s="35"/>
      <c r="E101" s="35"/>
      <c r="F101" s="35"/>
    </row>
    <row r="102" spans="2:6" x14ac:dyDescent="0.25">
      <c r="B102" s="35"/>
      <c r="C102" s="35"/>
      <c r="D102" s="35"/>
      <c r="E102" s="35"/>
      <c r="F102" s="35"/>
    </row>
    <row r="103" spans="2:6" x14ac:dyDescent="0.25">
      <c r="B103" s="35"/>
      <c r="C103" s="35"/>
      <c r="D103" s="35"/>
      <c r="E103" s="35"/>
      <c r="F103" s="35"/>
    </row>
    <row r="104" spans="2:6" x14ac:dyDescent="0.25">
      <c r="B104" s="35"/>
      <c r="C104" s="35"/>
      <c r="D104" s="35"/>
      <c r="E104" s="35"/>
      <c r="F104" s="35"/>
    </row>
    <row r="105" spans="2:6" x14ac:dyDescent="0.25">
      <c r="B105" s="35"/>
      <c r="C105" s="35"/>
      <c r="D105" s="35"/>
      <c r="E105" s="35"/>
      <c r="F105" s="35"/>
    </row>
    <row r="106" spans="2:6" x14ac:dyDescent="0.25">
      <c r="B106" s="35"/>
      <c r="C106" s="35"/>
      <c r="D106" s="35"/>
      <c r="E106" s="35"/>
      <c r="F106" s="35"/>
    </row>
    <row r="107" spans="2:6" x14ac:dyDescent="0.25">
      <c r="B107" s="35"/>
      <c r="C107" s="35"/>
      <c r="D107" s="35"/>
      <c r="E107" s="35"/>
      <c r="F107" s="35"/>
    </row>
    <row r="108" spans="2:6" x14ac:dyDescent="0.25">
      <c r="B108" s="35"/>
      <c r="C108" s="35"/>
      <c r="D108" s="35"/>
      <c r="E108" s="35"/>
      <c r="F108" s="35"/>
    </row>
    <row r="109" spans="2:6" x14ac:dyDescent="0.25">
      <c r="B109" s="35"/>
      <c r="C109" s="35"/>
      <c r="D109" s="35"/>
      <c r="E109" s="35"/>
      <c r="F109" s="35"/>
    </row>
  </sheetData>
  <mergeCells count="3">
    <mergeCell ref="C57:E57"/>
    <mergeCell ref="B3:E4"/>
    <mergeCell ref="B33:C34"/>
  </mergeCells>
  <phoneticPr fontId="2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E762-860F-463A-9D5B-D43E393411B1}">
  <dimension ref="A3:S203"/>
  <sheetViews>
    <sheetView tabSelected="1" topLeftCell="A196" zoomScale="134" zoomScaleNormal="145" workbookViewId="0">
      <selection activeCell="H204" sqref="H204"/>
    </sheetView>
  </sheetViews>
  <sheetFormatPr defaultRowHeight="13.8" x14ac:dyDescent="0.25"/>
  <cols>
    <col min="5" max="6" width="15.3984375" bestFit="1" customWidth="1"/>
    <col min="7" max="7" width="14.69921875" customWidth="1"/>
    <col min="8" max="8" width="16" bestFit="1" customWidth="1"/>
    <col min="10" max="10" width="9.296875" customWidth="1"/>
    <col min="12" max="12" width="12.09765625" customWidth="1"/>
    <col min="13" max="13" width="10.69921875" customWidth="1"/>
  </cols>
  <sheetData>
    <row r="3" spans="2:17" x14ac:dyDescent="0.25">
      <c r="B3" s="133" t="s">
        <v>299</v>
      </c>
      <c r="C3" s="134"/>
      <c r="D3" s="134"/>
      <c r="E3" s="134"/>
      <c r="F3" s="134"/>
    </row>
    <row r="4" spans="2:17" x14ac:dyDescent="0.25">
      <c r="B4" s="134"/>
      <c r="C4" s="134"/>
      <c r="D4" s="134"/>
      <c r="E4" s="134"/>
      <c r="F4" s="134"/>
    </row>
    <row r="6" spans="2:17" x14ac:dyDescent="0.25">
      <c r="C6" t="s">
        <v>300</v>
      </c>
    </row>
    <row r="7" spans="2:17" ht="14.4" x14ac:dyDescent="0.3">
      <c r="L7" s="88" t="s">
        <v>28</v>
      </c>
      <c r="M7" s="89" t="s">
        <v>279</v>
      </c>
      <c r="N7" s="89" t="s">
        <v>34</v>
      </c>
      <c r="O7" s="89" t="s">
        <v>280</v>
      </c>
      <c r="P7" s="89" t="s">
        <v>281</v>
      </c>
      <c r="Q7" s="90" t="s">
        <v>282</v>
      </c>
    </row>
    <row r="8" spans="2:17" x14ac:dyDescent="0.25">
      <c r="G8">
        <f xml:space="preserve"> 4 + 5</f>
        <v>9</v>
      </c>
      <c r="L8" s="83" t="s">
        <v>298</v>
      </c>
      <c r="M8" s="97" t="s">
        <v>284</v>
      </c>
      <c r="N8" s="97">
        <v>400</v>
      </c>
      <c r="O8" s="97">
        <v>80</v>
      </c>
      <c r="P8" s="97" t="s">
        <v>287</v>
      </c>
      <c r="Q8" s="84">
        <v>32000</v>
      </c>
    </row>
    <row r="9" spans="2:17" x14ac:dyDescent="0.25">
      <c r="L9" s="83" t="s">
        <v>290</v>
      </c>
      <c r="M9" s="71" t="s">
        <v>284</v>
      </c>
      <c r="N9" s="71">
        <v>1200</v>
      </c>
      <c r="O9" s="71">
        <v>100</v>
      </c>
      <c r="P9" s="71" t="s">
        <v>291</v>
      </c>
      <c r="Q9" s="84">
        <v>120000</v>
      </c>
    </row>
    <row r="10" spans="2:17" x14ac:dyDescent="0.25">
      <c r="C10" s="91"/>
      <c r="H10">
        <f xml:space="preserve"> SUM(2, 3, 4)</f>
        <v>9</v>
      </c>
      <c r="L10" s="83" t="s">
        <v>294</v>
      </c>
      <c r="M10" s="71" t="s">
        <v>293</v>
      </c>
      <c r="N10" s="71">
        <v>50</v>
      </c>
      <c r="O10" s="71">
        <v>600</v>
      </c>
      <c r="P10" s="71" t="s">
        <v>287</v>
      </c>
      <c r="Q10" s="84">
        <v>30000</v>
      </c>
    </row>
    <row r="11" spans="2:17" ht="14.4" x14ac:dyDescent="0.3">
      <c r="C11" s="92" t="s">
        <v>301</v>
      </c>
      <c r="D11" s="93"/>
      <c r="L11" s="83" t="s">
        <v>283</v>
      </c>
      <c r="M11" s="71" t="s">
        <v>284</v>
      </c>
      <c r="N11" s="71">
        <v>1000</v>
      </c>
      <c r="O11" s="71">
        <v>200</v>
      </c>
      <c r="P11" s="71" t="s">
        <v>285</v>
      </c>
      <c r="Q11" s="84">
        <v>200000</v>
      </c>
    </row>
    <row r="12" spans="2:17" x14ac:dyDescent="0.25">
      <c r="L12" s="83" t="s">
        <v>292</v>
      </c>
      <c r="M12" s="71" t="s">
        <v>293</v>
      </c>
      <c r="N12" s="71">
        <v>300</v>
      </c>
      <c r="O12" s="71">
        <v>400</v>
      </c>
      <c r="P12" s="71" t="s">
        <v>285</v>
      </c>
      <c r="Q12" s="84">
        <v>120000</v>
      </c>
    </row>
    <row r="13" spans="2:17" x14ac:dyDescent="0.25">
      <c r="C13" t="s">
        <v>302</v>
      </c>
      <c r="L13" s="83" t="s">
        <v>295</v>
      </c>
      <c r="M13" s="71" t="s">
        <v>293</v>
      </c>
      <c r="N13" s="71">
        <v>20</v>
      </c>
      <c r="O13" s="71">
        <v>700</v>
      </c>
      <c r="P13" s="71" t="s">
        <v>289</v>
      </c>
      <c r="Q13" s="84">
        <v>14000</v>
      </c>
    </row>
    <row r="14" spans="2:17" x14ac:dyDescent="0.25">
      <c r="L14" s="83" t="s">
        <v>296</v>
      </c>
      <c r="M14" s="71" t="s">
        <v>284</v>
      </c>
      <c r="N14" s="71">
        <v>150</v>
      </c>
      <c r="O14" s="71">
        <v>50</v>
      </c>
      <c r="P14" s="71" t="s">
        <v>291</v>
      </c>
      <c r="Q14" s="84">
        <v>7500</v>
      </c>
    </row>
    <row r="15" spans="2:17" x14ac:dyDescent="0.25">
      <c r="D15" s="80" t="s">
        <v>303</v>
      </c>
      <c r="L15" s="83" t="s">
        <v>297</v>
      </c>
      <c r="M15" s="71" t="s">
        <v>284</v>
      </c>
      <c r="N15" s="71">
        <v>200</v>
      </c>
      <c r="O15" s="71">
        <v>40</v>
      </c>
      <c r="P15" s="71" t="s">
        <v>285</v>
      </c>
      <c r="Q15" s="84">
        <v>8000</v>
      </c>
    </row>
    <row r="16" spans="2:17" x14ac:dyDescent="0.25">
      <c r="L16" s="83" t="s">
        <v>288</v>
      </c>
      <c r="M16" s="71" t="s">
        <v>284</v>
      </c>
      <c r="N16" s="71">
        <v>800</v>
      </c>
      <c r="O16" s="71">
        <v>300</v>
      </c>
      <c r="P16" s="71" t="s">
        <v>289</v>
      </c>
      <c r="Q16" s="84">
        <v>240000</v>
      </c>
    </row>
    <row r="17" spans="3:17" x14ac:dyDescent="0.25">
      <c r="D17" t="s">
        <v>306</v>
      </c>
      <c r="L17" s="85" t="s">
        <v>286</v>
      </c>
      <c r="M17" s="86" t="s">
        <v>284</v>
      </c>
      <c r="N17" s="86">
        <v>500</v>
      </c>
      <c r="O17" s="86">
        <v>150</v>
      </c>
      <c r="P17" s="86" t="s">
        <v>287</v>
      </c>
      <c r="Q17" s="87">
        <v>75000</v>
      </c>
    </row>
    <row r="18" spans="3:17" x14ac:dyDescent="0.25">
      <c r="E18" t="s">
        <v>307</v>
      </c>
      <c r="G18" t="s">
        <v>311</v>
      </c>
    </row>
    <row r="19" spans="3:17" x14ac:dyDescent="0.25">
      <c r="E19" t="s">
        <v>308</v>
      </c>
      <c r="G19" t="s">
        <v>312</v>
      </c>
    </row>
    <row r="20" spans="3:17" x14ac:dyDescent="0.25">
      <c r="E20" t="s">
        <v>309</v>
      </c>
      <c r="G20" t="s">
        <v>313</v>
      </c>
    </row>
    <row r="21" spans="3:17" x14ac:dyDescent="0.25">
      <c r="E21" t="s">
        <v>310</v>
      </c>
      <c r="G21" t="s">
        <v>318</v>
      </c>
    </row>
    <row r="22" spans="3:17" x14ac:dyDescent="0.25">
      <c r="G22" t="s">
        <v>314</v>
      </c>
    </row>
    <row r="24" spans="3:17" ht="14.4" x14ac:dyDescent="0.3">
      <c r="C24" t="s">
        <v>304</v>
      </c>
      <c r="G24">
        <f xml:space="preserve"> VLOOKUP("Desktop", L7:Q17, 3,)</f>
        <v>1200</v>
      </c>
    </row>
    <row r="25" spans="3:17" ht="14.4" x14ac:dyDescent="0.3">
      <c r="G25" s="36" t="s">
        <v>305</v>
      </c>
    </row>
    <row r="28" spans="3:17" ht="14.4" x14ac:dyDescent="0.3">
      <c r="C28" s="72" t="s">
        <v>315</v>
      </c>
    </row>
    <row r="30" spans="3:17" x14ac:dyDescent="0.25">
      <c r="C30" s="73"/>
      <c r="D30" s="94" t="s">
        <v>34</v>
      </c>
      <c r="E30" s="95" t="s">
        <v>316</v>
      </c>
    </row>
    <row r="31" spans="3:17" x14ac:dyDescent="0.25">
      <c r="C31" s="96" t="s">
        <v>292</v>
      </c>
      <c r="D31" s="97">
        <f>VLOOKUP(C31, $L$7:$Q$17, 3, FALSE)</f>
        <v>300</v>
      </c>
      <c r="E31" s="84">
        <f>VLOOKUP(C31, $L$7:$Q$17, 4, FALSE)</f>
        <v>400</v>
      </c>
      <c r="F31" s="97">
        <f>VLOOKUP(C31, L7:Q17, 3, FALSE)</f>
        <v>300</v>
      </c>
      <c r="G31" s="97"/>
      <c r="H31" s="97"/>
    </row>
    <row r="32" spans="3:17" x14ac:dyDescent="0.25">
      <c r="C32" s="96" t="s">
        <v>290</v>
      </c>
      <c r="D32" s="97">
        <f t="shared" ref="D32:D36" si="0">VLOOKUP(C32, $L$7:$Q$17, 3, FALSE)</f>
        <v>1200</v>
      </c>
      <c r="E32" s="84">
        <f>VLOOKUP(C32, $L$7:$Q$17, 4, FALSE)</f>
        <v>100</v>
      </c>
      <c r="F32" s="97">
        <f t="shared" ref="F32:F37" si="1">VLOOKUP(C32, L8:Q18, 3, FALSE)</f>
        <v>1200</v>
      </c>
      <c r="H32" s="97"/>
    </row>
    <row r="33" spans="3:8" x14ac:dyDescent="0.25">
      <c r="C33" s="96" t="s">
        <v>295</v>
      </c>
      <c r="D33" s="97">
        <f t="shared" si="0"/>
        <v>20</v>
      </c>
      <c r="E33" s="84">
        <f>VLOOKUP(C33, $L$7:$Q$17, 4, FALSE)</f>
        <v>700</v>
      </c>
      <c r="F33" s="97">
        <f t="shared" si="1"/>
        <v>20</v>
      </c>
      <c r="H33" s="97"/>
    </row>
    <row r="34" spans="3:8" x14ac:dyDescent="0.25">
      <c r="C34" s="96" t="s">
        <v>288</v>
      </c>
      <c r="D34" s="97">
        <f t="shared" si="0"/>
        <v>800</v>
      </c>
      <c r="E34" s="84">
        <f>VLOOKUP(C34, $L$7:$Q$17, 4, FALSE)</f>
        <v>300</v>
      </c>
      <c r="F34" s="97">
        <f t="shared" si="1"/>
        <v>800</v>
      </c>
      <c r="H34" s="97"/>
    </row>
    <row r="35" spans="3:8" x14ac:dyDescent="0.25">
      <c r="C35" s="96" t="s">
        <v>297</v>
      </c>
      <c r="D35" s="97">
        <f t="shared" si="0"/>
        <v>200</v>
      </c>
      <c r="E35" s="84">
        <f t="shared" ref="E35:E36" si="2">VLOOKUP(C35, $L$7:$Q$17, 4, FALSE)</f>
        <v>40</v>
      </c>
      <c r="F35" s="97">
        <f t="shared" si="1"/>
        <v>200</v>
      </c>
      <c r="H35" s="97"/>
    </row>
    <row r="36" spans="3:8" x14ac:dyDescent="0.25">
      <c r="C36" s="99" t="s">
        <v>317</v>
      </c>
      <c r="D36" s="97" t="e">
        <f t="shared" si="0"/>
        <v>#N/A</v>
      </c>
      <c r="E36" s="84" t="e">
        <f t="shared" si="2"/>
        <v>#N/A</v>
      </c>
      <c r="F36" s="97" t="e">
        <f t="shared" si="1"/>
        <v>#N/A</v>
      </c>
    </row>
    <row r="37" spans="3:8" x14ac:dyDescent="0.25">
      <c r="C37" s="96" t="s">
        <v>283</v>
      </c>
      <c r="D37" s="101">
        <f>VLOOKUP(C37, $L$7:$Q$17, 3, FALSE)</f>
        <v>1000</v>
      </c>
      <c r="E37" s="102">
        <f>VLOOKUP(C37, $L$7:$Q$17, 4, FALSE)</f>
        <v>200</v>
      </c>
      <c r="F37" s="97" t="e">
        <f t="shared" si="1"/>
        <v>#N/A</v>
      </c>
    </row>
    <row r="39" spans="3:8" x14ac:dyDescent="0.25">
      <c r="D39" s="72" cm="1">
        <f t="array" ref="D39:F39">VLOOKUP(C37, $L$7:$Q$17, {3,4,5}, FALSE)</f>
        <v>1000</v>
      </c>
      <c r="E39">
        <v>200</v>
      </c>
      <c r="F39" t="str">
        <v>North</v>
      </c>
    </row>
    <row r="40" spans="3:8" ht="14.4" x14ac:dyDescent="0.3">
      <c r="D40" s="120" t="s">
        <v>351</v>
      </c>
      <c r="E40" s="120"/>
      <c r="F40" s="120"/>
    </row>
    <row r="43" spans="3:8" x14ac:dyDescent="0.25">
      <c r="D43" s="72" cm="1">
        <f t="array" ref="D43:F43">VLOOKUP(C37, $L$7:$Q$17, {3,4,5}, FALSE)</f>
        <v>1000</v>
      </c>
      <c r="E43">
        <v>200</v>
      </c>
      <c r="F43" t="str">
        <v>North</v>
      </c>
    </row>
    <row r="44" spans="3:8" x14ac:dyDescent="0.25">
      <c r="D44" s="72"/>
    </row>
    <row r="53" spans="1:19" x14ac:dyDescent="0.25"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 spans="1:19" x14ac:dyDescent="0.25">
      <c r="I54" s="71" t="str" cm="1">
        <f t="array" ref="I54:S59">TRANSPOSE(H89:M99)</f>
        <v>Product</v>
      </c>
      <c r="J54" s="71" t="str">
        <v>Laptop</v>
      </c>
      <c r="K54" s="71" t="str">
        <v>Tablet</v>
      </c>
      <c r="L54" s="71" t="str">
        <v>Smartphone</v>
      </c>
      <c r="M54" s="71" t="str">
        <v>Desktop</v>
      </c>
      <c r="N54" s="71" t="str">
        <v>Monitor</v>
      </c>
      <c r="O54" s="71" t="str">
        <v>Keyboard</v>
      </c>
      <c r="P54" s="71" t="str">
        <v>Mouse</v>
      </c>
      <c r="Q54" s="71" t="str">
        <v>Printer</v>
      </c>
      <c r="R54" s="71" t="str">
        <v>Scanner</v>
      </c>
      <c r="S54" s="71" t="str">
        <v>Camera</v>
      </c>
    </row>
    <row r="55" spans="1:19" x14ac:dyDescent="0.25">
      <c r="I55" s="71" t="str">
        <v>Category</v>
      </c>
      <c r="J55" s="71" t="str">
        <v>Electronics</v>
      </c>
      <c r="K55" s="71" t="str">
        <v>Electronics</v>
      </c>
      <c r="L55" s="71" t="str">
        <v>Electronics</v>
      </c>
      <c r="M55" s="71" t="str">
        <v>Electronics</v>
      </c>
      <c r="N55" s="71" t="str">
        <v>Accessories</v>
      </c>
      <c r="O55" s="71" t="str">
        <v>Accessories</v>
      </c>
      <c r="P55" s="71" t="str">
        <v>Accessories</v>
      </c>
      <c r="Q55" s="71" t="str">
        <v>Electronics</v>
      </c>
      <c r="R55" s="71" t="str">
        <v>Electronics</v>
      </c>
      <c r="S55" s="71" t="str">
        <v>Electronics</v>
      </c>
    </row>
    <row r="56" spans="1:19" x14ac:dyDescent="0.25">
      <c r="I56" s="71" t="str">
        <v>Price</v>
      </c>
      <c r="J56" s="71">
        <v>1000</v>
      </c>
      <c r="K56" s="71">
        <v>500</v>
      </c>
      <c r="L56" s="71">
        <v>800</v>
      </c>
      <c r="M56" s="71">
        <v>1200</v>
      </c>
      <c r="N56" s="71">
        <v>300</v>
      </c>
      <c r="O56" s="71">
        <v>50</v>
      </c>
      <c r="P56" s="71">
        <v>20</v>
      </c>
      <c r="Q56" s="71">
        <v>150</v>
      </c>
      <c r="R56" s="71">
        <v>200</v>
      </c>
      <c r="S56" s="71">
        <v>400</v>
      </c>
    </row>
    <row r="57" spans="1:19" x14ac:dyDescent="0.25">
      <c r="I57" s="71" t="str">
        <v>Units sold</v>
      </c>
      <c r="J57" s="71">
        <v>200</v>
      </c>
      <c r="K57" s="71">
        <v>150</v>
      </c>
      <c r="L57" s="71">
        <v>300</v>
      </c>
      <c r="M57" s="71">
        <v>100</v>
      </c>
      <c r="N57" s="71">
        <v>400</v>
      </c>
      <c r="O57" s="71">
        <v>600</v>
      </c>
      <c r="P57" s="71">
        <v>700</v>
      </c>
      <c r="Q57" s="71">
        <v>50</v>
      </c>
      <c r="R57" s="71">
        <v>40</v>
      </c>
      <c r="S57" s="71">
        <v>80</v>
      </c>
    </row>
    <row r="58" spans="1:19" x14ac:dyDescent="0.25">
      <c r="I58" s="71" t="str">
        <v>Region</v>
      </c>
      <c r="J58" s="71" t="str">
        <v>North</v>
      </c>
      <c r="K58" s="71" t="str">
        <v>South</v>
      </c>
      <c r="L58" s="71" t="str">
        <v>East</v>
      </c>
      <c r="M58" s="71" t="str">
        <v>West</v>
      </c>
      <c r="N58" s="71" t="str">
        <v>North</v>
      </c>
      <c r="O58" s="71" t="str">
        <v>South</v>
      </c>
      <c r="P58" s="71" t="str">
        <v>East</v>
      </c>
      <c r="Q58" s="71" t="str">
        <v>West</v>
      </c>
      <c r="R58" s="71" t="str">
        <v>North</v>
      </c>
      <c r="S58" s="71" t="str">
        <v>South</v>
      </c>
    </row>
    <row r="59" spans="1:19" x14ac:dyDescent="0.25">
      <c r="I59" t="str">
        <v>Revenue</v>
      </c>
      <c r="J59">
        <v>200000</v>
      </c>
      <c r="K59">
        <v>75000</v>
      </c>
      <c r="L59">
        <v>240000</v>
      </c>
      <c r="M59">
        <v>120000</v>
      </c>
      <c r="N59">
        <v>120000</v>
      </c>
      <c r="O59">
        <v>30000</v>
      </c>
      <c r="P59">
        <v>14000</v>
      </c>
      <c r="Q59">
        <v>7500</v>
      </c>
      <c r="R59">
        <v>8000</v>
      </c>
      <c r="S59">
        <v>32000</v>
      </c>
    </row>
    <row r="63" spans="1:19" x14ac:dyDescent="0.25">
      <c r="A63" s="103" t="s">
        <v>28</v>
      </c>
      <c r="B63" s="104" t="s">
        <v>283</v>
      </c>
      <c r="C63" s="104" t="s">
        <v>286</v>
      </c>
      <c r="D63" s="104" t="s">
        <v>288</v>
      </c>
      <c r="E63" s="104" t="s">
        <v>290</v>
      </c>
      <c r="F63" s="104" t="s">
        <v>292</v>
      </c>
      <c r="G63" s="104" t="s">
        <v>294</v>
      </c>
      <c r="H63" s="104" t="s">
        <v>295</v>
      </c>
      <c r="I63" s="104" t="s">
        <v>296</v>
      </c>
      <c r="J63" s="104" t="s">
        <v>297</v>
      </c>
      <c r="K63" s="105" t="s">
        <v>298</v>
      </c>
    </row>
    <row r="64" spans="1:19" x14ac:dyDescent="0.25">
      <c r="A64" s="83" t="s">
        <v>279</v>
      </c>
      <c r="B64" s="97" t="s">
        <v>284</v>
      </c>
      <c r="C64" s="97" t="s">
        <v>284</v>
      </c>
      <c r="D64" s="97" t="s">
        <v>284</v>
      </c>
      <c r="E64" s="97" t="s">
        <v>284</v>
      </c>
      <c r="F64" s="97" t="s">
        <v>293</v>
      </c>
      <c r="G64" s="97" t="s">
        <v>293</v>
      </c>
      <c r="H64" s="97" t="s">
        <v>293</v>
      </c>
      <c r="I64" s="97" t="s">
        <v>284</v>
      </c>
      <c r="J64" s="97" t="s">
        <v>284</v>
      </c>
      <c r="K64" s="84" t="s">
        <v>284</v>
      </c>
    </row>
    <row r="65" spans="1:11" x14ac:dyDescent="0.25">
      <c r="A65" s="83" t="s">
        <v>34</v>
      </c>
      <c r="B65" s="97">
        <v>1000</v>
      </c>
      <c r="C65" s="97">
        <v>500</v>
      </c>
      <c r="D65" s="97">
        <v>800</v>
      </c>
      <c r="E65" s="97">
        <v>1200</v>
      </c>
      <c r="F65" s="97">
        <v>300</v>
      </c>
      <c r="G65" s="97">
        <v>50</v>
      </c>
      <c r="H65" s="97">
        <v>20</v>
      </c>
      <c r="I65" s="97">
        <v>150</v>
      </c>
      <c r="J65" s="97">
        <v>200</v>
      </c>
      <c r="K65" s="84">
        <v>400</v>
      </c>
    </row>
    <row r="66" spans="1:11" x14ac:dyDescent="0.25">
      <c r="A66" s="83" t="s">
        <v>280</v>
      </c>
      <c r="B66" s="97">
        <v>200</v>
      </c>
      <c r="C66" s="97">
        <v>150</v>
      </c>
      <c r="D66" s="97">
        <v>300</v>
      </c>
      <c r="E66" s="97">
        <v>100</v>
      </c>
      <c r="F66" s="97">
        <v>400</v>
      </c>
      <c r="G66" s="97">
        <v>600</v>
      </c>
      <c r="H66" s="97">
        <v>700</v>
      </c>
      <c r="I66" s="97">
        <v>50</v>
      </c>
      <c r="J66" s="97">
        <v>40</v>
      </c>
      <c r="K66" s="84">
        <v>80</v>
      </c>
    </row>
    <row r="67" spans="1:11" x14ac:dyDescent="0.25">
      <c r="A67" s="83" t="s">
        <v>281</v>
      </c>
      <c r="B67" s="97" t="s">
        <v>285</v>
      </c>
      <c r="C67" s="97" t="s">
        <v>287</v>
      </c>
      <c r="D67" s="97" t="s">
        <v>289</v>
      </c>
      <c r="E67" s="97" t="s">
        <v>291</v>
      </c>
      <c r="F67" s="97" t="s">
        <v>285</v>
      </c>
      <c r="G67" s="97" t="s">
        <v>287</v>
      </c>
      <c r="H67" s="97" t="s">
        <v>289</v>
      </c>
      <c r="I67" s="97" t="s">
        <v>291</v>
      </c>
      <c r="J67" s="97" t="s">
        <v>285</v>
      </c>
      <c r="K67" s="84" t="s">
        <v>287</v>
      </c>
    </row>
    <row r="68" spans="1:11" x14ac:dyDescent="0.25">
      <c r="A68" s="85" t="s">
        <v>282</v>
      </c>
      <c r="B68" s="86">
        <v>200000</v>
      </c>
      <c r="C68" s="86">
        <v>75000</v>
      </c>
      <c r="D68" s="86">
        <v>240000</v>
      </c>
      <c r="E68" s="86">
        <v>120000</v>
      </c>
      <c r="F68" s="86">
        <v>120000</v>
      </c>
      <c r="G68" s="86">
        <v>30000</v>
      </c>
      <c r="H68" s="86">
        <v>14000</v>
      </c>
      <c r="I68" s="86">
        <v>7500</v>
      </c>
      <c r="J68" s="86">
        <v>8000</v>
      </c>
      <c r="K68" s="87">
        <v>32000</v>
      </c>
    </row>
    <row r="71" spans="1:11" x14ac:dyDescent="0.25">
      <c r="B71" s="135" t="s">
        <v>319</v>
      </c>
      <c r="C71" s="135"/>
      <c r="D71" s="135"/>
    </row>
    <row r="72" spans="1:11" x14ac:dyDescent="0.25">
      <c r="B72" s="135"/>
      <c r="C72" s="135"/>
      <c r="D72" s="135"/>
      <c r="F72" s="72" t="s">
        <v>348</v>
      </c>
    </row>
    <row r="74" spans="1:11" x14ac:dyDescent="0.25">
      <c r="B74" t="s">
        <v>320</v>
      </c>
      <c r="G74" t="s">
        <v>283</v>
      </c>
      <c r="H74">
        <f>HLOOKUP(G74, $A$63:$K$68, 4,)</f>
        <v>200</v>
      </c>
    </row>
    <row r="75" spans="1:11" x14ac:dyDescent="0.25">
      <c r="C75" t="s">
        <v>321</v>
      </c>
      <c r="G75" t="s">
        <v>286</v>
      </c>
      <c r="H75" s="72">
        <f t="shared" ref="H75:H77" si="3">HLOOKUP(G75, $A$63:$K$68, 4,)</f>
        <v>150</v>
      </c>
    </row>
    <row r="76" spans="1:11" x14ac:dyDescent="0.25">
      <c r="G76" t="s">
        <v>298</v>
      </c>
      <c r="H76" s="72">
        <f t="shared" si="3"/>
        <v>80</v>
      </c>
    </row>
    <row r="77" spans="1:11" x14ac:dyDescent="0.25">
      <c r="G77" t="s">
        <v>295</v>
      </c>
      <c r="H77" s="72">
        <f t="shared" si="3"/>
        <v>700</v>
      </c>
    </row>
    <row r="79" spans="1:11" x14ac:dyDescent="0.25">
      <c r="B79" t="s">
        <v>322</v>
      </c>
    </row>
    <row r="80" spans="1:11" x14ac:dyDescent="0.25">
      <c r="B80" t="s">
        <v>323</v>
      </c>
    </row>
    <row r="81" spans="2:13" x14ac:dyDescent="0.25">
      <c r="B81" t="s">
        <v>324</v>
      </c>
    </row>
    <row r="82" spans="2:13" x14ac:dyDescent="0.25">
      <c r="B82" t="s">
        <v>325</v>
      </c>
    </row>
    <row r="83" spans="2:13" x14ac:dyDescent="0.25">
      <c r="B83" t="s">
        <v>326</v>
      </c>
    </row>
    <row r="88" spans="2:13" x14ac:dyDescent="0.25">
      <c r="B88" s="136" t="s">
        <v>327</v>
      </c>
      <c r="C88" s="136"/>
      <c r="D88" s="136"/>
      <c r="E88" s="136"/>
    </row>
    <row r="89" spans="2:13" ht="14.4" x14ac:dyDescent="0.3">
      <c r="B89" s="136"/>
      <c r="C89" s="136"/>
      <c r="D89" s="136"/>
      <c r="E89" s="136"/>
      <c r="H89" s="88" t="s">
        <v>28</v>
      </c>
      <c r="I89" s="89" t="s">
        <v>279</v>
      </c>
      <c r="J89" s="89" t="s">
        <v>34</v>
      </c>
      <c r="K89" s="89" t="s">
        <v>280</v>
      </c>
      <c r="L89" s="89" t="s">
        <v>281</v>
      </c>
      <c r="M89" s="90" t="s">
        <v>282</v>
      </c>
    </row>
    <row r="90" spans="2:13" x14ac:dyDescent="0.25">
      <c r="H90" s="83" t="s">
        <v>283</v>
      </c>
      <c r="I90" s="71" t="s">
        <v>284</v>
      </c>
      <c r="J90" s="71">
        <v>1000</v>
      </c>
      <c r="K90" s="71">
        <v>200</v>
      </c>
      <c r="L90" s="71" t="s">
        <v>285</v>
      </c>
      <c r="M90" s="84">
        <v>200000</v>
      </c>
    </row>
    <row r="91" spans="2:13" ht="14.4" x14ac:dyDescent="0.3">
      <c r="B91" t="s">
        <v>328</v>
      </c>
      <c r="C91" t="s">
        <v>332</v>
      </c>
      <c r="H91" s="83" t="s">
        <v>286</v>
      </c>
      <c r="I91" s="71" t="s">
        <v>284</v>
      </c>
      <c r="J91" s="71">
        <v>500</v>
      </c>
      <c r="K91" s="71">
        <v>150</v>
      </c>
      <c r="L91" s="71" t="s">
        <v>287</v>
      </c>
      <c r="M91" s="84">
        <v>75000</v>
      </c>
    </row>
    <row r="92" spans="2:13" x14ac:dyDescent="0.25">
      <c r="C92" t="s">
        <v>336</v>
      </c>
      <c r="H92" s="83" t="s">
        <v>288</v>
      </c>
      <c r="I92" s="71" t="s">
        <v>284</v>
      </c>
      <c r="J92" s="71">
        <v>800</v>
      </c>
      <c r="K92" s="71">
        <v>300</v>
      </c>
      <c r="L92" s="71" t="s">
        <v>289</v>
      </c>
      <c r="M92" s="84">
        <v>240000</v>
      </c>
    </row>
    <row r="93" spans="2:13" x14ac:dyDescent="0.25">
      <c r="D93" t="s">
        <v>337</v>
      </c>
      <c r="H93" s="83" t="s">
        <v>290</v>
      </c>
      <c r="I93" s="71" t="s">
        <v>284</v>
      </c>
      <c r="J93" s="71">
        <v>1200</v>
      </c>
      <c r="K93" s="71">
        <v>100</v>
      </c>
      <c r="L93" s="71" t="s">
        <v>291</v>
      </c>
      <c r="M93" s="84">
        <v>120000</v>
      </c>
    </row>
    <row r="94" spans="2:13" x14ac:dyDescent="0.25">
      <c r="B94" s="72" t="s">
        <v>329</v>
      </c>
      <c r="E94" s="71" t="str">
        <f>INDEX(H89:M99, 2, 2)</f>
        <v>Electronics</v>
      </c>
      <c r="H94" s="83" t="s">
        <v>292</v>
      </c>
      <c r="I94" s="71" t="s">
        <v>293</v>
      </c>
      <c r="J94" s="71">
        <v>300</v>
      </c>
      <c r="K94" s="71">
        <v>400</v>
      </c>
      <c r="L94" s="71" t="s">
        <v>285</v>
      </c>
      <c r="M94" s="84">
        <v>120000</v>
      </c>
    </row>
    <row r="95" spans="2:13" x14ac:dyDescent="0.25">
      <c r="E95" s="71" t="str">
        <f>INDEX(I89:I99,2)</f>
        <v>Electronics</v>
      </c>
      <c r="F95" s="72" t="s">
        <v>349</v>
      </c>
      <c r="H95" s="83" t="s">
        <v>294</v>
      </c>
      <c r="I95" s="71" t="s">
        <v>293</v>
      </c>
      <c r="J95" s="71">
        <v>50</v>
      </c>
      <c r="K95" s="71">
        <v>600</v>
      </c>
      <c r="L95" s="71" t="s">
        <v>287</v>
      </c>
      <c r="M95" s="84">
        <v>30000</v>
      </c>
    </row>
    <row r="96" spans="2:13" x14ac:dyDescent="0.25">
      <c r="H96" s="83" t="s">
        <v>295</v>
      </c>
      <c r="I96" s="71" t="s">
        <v>293</v>
      </c>
      <c r="J96" s="71">
        <v>20</v>
      </c>
      <c r="K96" s="71">
        <v>700</v>
      </c>
      <c r="L96" s="71" t="s">
        <v>289</v>
      </c>
      <c r="M96" s="84">
        <v>14000</v>
      </c>
    </row>
    <row r="97" spans="2:13" ht="14.4" x14ac:dyDescent="0.3">
      <c r="B97" t="s">
        <v>330</v>
      </c>
      <c r="C97" t="s">
        <v>333</v>
      </c>
      <c r="H97" s="83" t="s">
        <v>296</v>
      </c>
      <c r="I97" s="71" t="s">
        <v>284</v>
      </c>
      <c r="J97" s="71">
        <v>150</v>
      </c>
      <c r="K97" s="71">
        <v>50</v>
      </c>
      <c r="L97" s="71" t="s">
        <v>291</v>
      </c>
      <c r="M97" s="84">
        <v>7500</v>
      </c>
    </row>
    <row r="98" spans="2:13" x14ac:dyDescent="0.25">
      <c r="H98" s="83" t="s">
        <v>297</v>
      </c>
      <c r="I98" s="71" t="s">
        <v>284</v>
      </c>
      <c r="J98" s="71">
        <v>200</v>
      </c>
      <c r="K98" s="71">
        <v>40</v>
      </c>
      <c r="L98" s="71" t="s">
        <v>285</v>
      </c>
      <c r="M98" s="84">
        <v>8000</v>
      </c>
    </row>
    <row r="99" spans="2:13" x14ac:dyDescent="0.25">
      <c r="B99" t="s">
        <v>331</v>
      </c>
      <c r="E99" s="71">
        <f>MATCH("Electronics", H92:M92, 0)</f>
        <v>2</v>
      </c>
      <c r="H99" s="85" t="s">
        <v>298</v>
      </c>
      <c r="I99" s="86" t="s">
        <v>284</v>
      </c>
      <c r="J99" s="86">
        <v>400</v>
      </c>
      <c r="K99" s="86">
        <v>80</v>
      </c>
      <c r="L99" s="86" t="s">
        <v>287</v>
      </c>
      <c r="M99" s="87">
        <v>32000</v>
      </c>
    </row>
    <row r="102" spans="2:13" x14ac:dyDescent="0.25">
      <c r="B102" s="137" t="s">
        <v>327</v>
      </c>
      <c r="C102" s="137"/>
      <c r="D102" s="137"/>
      <c r="E102" s="137"/>
    </row>
    <row r="103" spans="2:13" x14ac:dyDescent="0.25">
      <c r="B103" s="137"/>
      <c r="C103" s="137"/>
      <c r="D103" s="137"/>
      <c r="E103" s="137"/>
    </row>
    <row r="106" spans="2:13" x14ac:dyDescent="0.25">
      <c r="B106" t="s">
        <v>334</v>
      </c>
    </row>
    <row r="107" spans="2:13" x14ac:dyDescent="0.25">
      <c r="D107">
        <f>INDEX(J89:J99, MATCH("Monitor",H89:H99, 0))</f>
        <v>300</v>
      </c>
      <c r="F107" s="72">
        <f>MATCH("Monitor", H89:H99, 0)</f>
        <v>6</v>
      </c>
    </row>
    <row r="108" spans="2:13" x14ac:dyDescent="0.25">
      <c r="D108" s="120" t="s">
        <v>335</v>
      </c>
      <c r="E108" s="120"/>
      <c r="F108" s="120"/>
    </row>
    <row r="110" spans="2:13" x14ac:dyDescent="0.25">
      <c r="E110" t="s">
        <v>338</v>
      </c>
      <c r="F110" t="s">
        <v>339</v>
      </c>
    </row>
    <row r="112" spans="2:13" ht="15" x14ac:dyDescent="0.35">
      <c r="C112" s="106" t="s">
        <v>340</v>
      </c>
      <c r="D112" s="106"/>
      <c r="E112" s="106" t="s">
        <v>341</v>
      </c>
    </row>
    <row r="114" spans="2:12" x14ac:dyDescent="0.25">
      <c r="D114">
        <f xml:space="preserve"> INDEX(J89:J99, 6)</f>
        <v>300</v>
      </c>
    </row>
    <row r="116" spans="2:12" x14ac:dyDescent="0.25">
      <c r="B116" s="137" t="s">
        <v>342</v>
      </c>
      <c r="C116" s="137"/>
      <c r="D116" s="137"/>
      <c r="E116" s="137"/>
    </row>
    <row r="117" spans="2:12" x14ac:dyDescent="0.25">
      <c r="B117" s="137"/>
      <c r="C117" s="137"/>
      <c r="D117" s="137"/>
      <c r="E117" s="137"/>
    </row>
    <row r="119" spans="2:12" ht="14.4" x14ac:dyDescent="0.3">
      <c r="B119" t="s">
        <v>350</v>
      </c>
      <c r="G119" s="88" t="s">
        <v>28</v>
      </c>
      <c r="H119" s="89" t="s">
        <v>279</v>
      </c>
      <c r="I119" s="89" t="s">
        <v>34</v>
      </c>
      <c r="J119" s="89" t="s">
        <v>280</v>
      </c>
      <c r="K119" s="89" t="s">
        <v>281</v>
      </c>
      <c r="L119" s="90" t="s">
        <v>282</v>
      </c>
    </row>
    <row r="120" spans="2:12" x14ac:dyDescent="0.25">
      <c r="B120" t="s">
        <v>343</v>
      </c>
      <c r="G120" s="83" t="s">
        <v>283</v>
      </c>
      <c r="H120" s="71" t="s">
        <v>284</v>
      </c>
      <c r="I120" s="71">
        <v>1000</v>
      </c>
      <c r="J120" s="71">
        <v>200</v>
      </c>
      <c r="K120" s="71" t="s">
        <v>285</v>
      </c>
      <c r="L120" s="84">
        <v>200000</v>
      </c>
    </row>
    <row r="121" spans="2:12" x14ac:dyDescent="0.25">
      <c r="C121" s="72" t="s">
        <v>344</v>
      </c>
      <c r="G121" s="83" t="s">
        <v>286</v>
      </c>
      <c r="H121" s="71" t="s">
        <v>284</v>
      </c>
      <c r="I121" s="71">
        <v>500</v>
      </c>
      <c r="J121" s="71">
        <v>150</v>
      </c>
      <c r="K121" s="71" t="s">
        <v>287</v>
      </c>
      <c r="L121" s="84">
        <v>75000</v>
      </c>
    </row>
    <row r="122" spans="2:12" x14ac:dyDescent="0.25">
      <c r="B122" t="s">
        <v>296</v>
      </c>
      <c r="C122">
        <f>_xlfn.XLOOKUP(B122, $G$119:$G$129, $J$119:$J$129, "not there")</f>
        <v>50</v>
      </c>
      <c r="G122" s="83" t="s">
        <v>288</v>
      </c>
      <c r="H122" s="71" t="s">
        <v>284</v>
      </c>
      <c r="I122" s="71">
        <v>800</v>
      </c>
      <c r="J122" s="71">
        <v>300</v>
      </c>
      <c r="K122" s="71" t="s">
        <v>289</v>
      </c>
      <c r="L122" s="84">
        <v>240000</v>
      </c>
    </row>
    <row r="123" spans="2:12" x14ac:dyDescent="0.25">
      <c r="B123" t="s">
        <v>292</v>
      </c>
      <c r="C123" s="72">
        <f t="shared" ref="C123:C126" si="4">_xlfn.XLOOKUP(B123, $G$119:$G$129, $J$119:$J$129, "not there")</f>
        <v>400</v>
      </c>
      <c r="D123">
        <f>_xlfn.XLOOKUP(B123, G119:G129, I119:I129, "not found")</f>
        <v>300</v>
      </c>
      <c r="G123" s="83" t="s">
        <v>290</v>
      </c>
      <c r="H123" s="71" t="s">
        <v>284</v>
      </c>
      <c r="I123" s="71">
        <v>1200</v>
      </c>
      <c r="J123" s="71">
        <v>100</v>
      </c>
      <c r="K123" s="71" t="s">
        <v>291</v>
      </c>
      <c r="L123" s="84">
        <v>120000</v>
      </c>
    </row>
    <row r="124" spans="2:12" x14ac:dyDescent="0.25">
      <c r="B124" t="s">
        <v>283</v>
      </c>
      <c r="C124" s="72">
        <f t="shared" si="4"/>
        <v>200</v>
      </c>
      <c r="G124" s="83" t="s">
        <v>292</v>
      </c>
      <c r="H124" s="71" t="s">
        <v>293</v>
      </c>
      <c r="I124" s="71">
        <v>300</v>
      </c>
      <c r="J124" s="71">
        <v>400</v>
      </c>
      <c r="K124" s="71" t="s">
        <v>285</v>
      </c>
      <c r="L124" s="84">
        <v>120000</v>
      </c>
    </row>
    <row r="125" spans="2:12" x14ac:dyDescent="0.25">
      <c r="B125" t="s">
        <v>290</v>
      </c>
      <c r="C125" s="72">
        <f t="shared" si="4"/>
        <v>100</v>
      </c>
      <c r="G125" s="83" t="s">
        <v>294</v>
      </c>
      <c r="H125" s="71" t="s">
        <v>293</v>
      </c>
      <c r="I125" s="71">
        <v>50</v>
      </c>
      <c r="J125" s="71">
        <v>600</v>
      </c>
      <c r="K125" s="71" t="s">
        <v>287</v>
      </c>
      <c r="L125" s="84">
        <v>30000</v>
      </c>
    </row>
    <row r="126" spans="2:12" x14ac:dyDescent="0.25">
      <c r="B126" t="s">
        <v>65</v>
      </c>
      <c r="C126" s="72" t="str">
        <f t="shared" si="4"/>
        <v>not there</v>
      </c>
      <c r="G126" s="83" t="s">
        <v>295</v>
      </c>
      <c r="H126" s="71" t="s">
        <v>293</v>
      </c>
      <c r="I126" s="71">
        <v>20</v>
      </c>
      <c r="J126" s="71">
        <v>700</v>
      </c>
      <c r="K126" s="71" t="s">
        <v>289</v>
      </c>
      <c r="L126" s="84">
        <v>14000</v>
      </c>
    </row>
    <row r="127" spans="2:12" x14ac:dyDescent="0.25">
      <c r="G127" s="83" t="s">
        <v>296</v>
      </c>
      <c r="H127" s="71" t="s">
        <v>284</v>
      </c>
      <c r="I127" s="71">
        <v>150</v>
      </c>
      <c r="J127" s="71">
        <v>50</v>
      </c>
      <c r="K127" s="71" t="s">
        <v>291</v>
      </c>
      <c r="L127" s="84">
        <v>7500</v>
      </c>
    </row>
    <row r="128" spans="2:12" x14ac:dyDescent="0.25">
      <c r="G128" s="83" t="s">
        <v>297</v>
      </c>
      <c r="H128" s="71" t="s">
        <v>284</v>
      </c>
      <c r="I128" s="71">
        <v>200</v>
      </c>
      <c r="J128" s="71">
        <v>40</v>
      </c>
      <c r="K128" s="71" t="s">
        <v>285</v>
      </c>
      <c r="L128" s="84">
        <v>8000</v>
      </c>
    </row>
    <row r="129" spans="2:13" x14ac:dyDescent="0.25">
      <c r="B129" t="s">
        <v>345</v>
      </c>
      <c r="G129" s="85" t="s">
        <v>298</v>
      </c>
      <c r="H129" s="86" t="s">
        <v>284</v>
      </c>
      <c r="I129" s="86">
        <v>400</v>
      </c>
      <c r="J129" s="86">
        <v>80</v>
      </c>
      <c r="K129" s="86" t="s">
        <v>287</v>
      </c>
      <c r="L129" s="87">
        <v>32000</v>
      </c>
    </row>
    <row r="130" spans="2:13" x14ac:dyDescent="0.25">
      <c r="B130" s="103" t="s">
        <v>346</v>
      </c>
      <c r="C130" s="105" t="s">
        <v>347</v>
      </c>
    </row>
    <row r="131" spans="2:13" x14ac:dyDescent="0.25">
      <c r="B131" s="83" t="s">
        <v>292</v>
      </c>
      <c r="C131" s="98">
        <f>_xlfn.XLOOKUP(B131,$G$119:$G$129, $L$119:$L$129, "NON")</f>
        <v>120000</v>
      </c>
    </row>
    <row r="132" spans="2:13" x14ac:dyDescent="0.25">
      <c r="B132" s="83" t="s">
        <v>294</v>
      </c>
      <c r="C132" s="98">
        <f t="shared" ref="C132:C134" si="5">_xlfn.XLOOKUP(B132,$G$119:$G$129, $L$119:$L$129, "NON")</f>
        <v>30000</v>
      </c>
    </row>
    <row r="133" spans="2:13" x14ac:dyDescent="0.25">
      <c r="B133" s="83" t="s">
        <v>295</v>
      </c>
      <c r="C133" s="98">
        <f t="shared" si="5"/>
        <v>14000</v>
      </c>
    </row>
    <row r="134" spans="2:13" x14ac:dyDescent="0.25">
      <c r="B134" s="85" t="s">
        <v>296</v>
      </c>
      <c r="C134" s="100">
        <f t="shared" si="5"/>
        <v>7500</v>
      </c>
    </row>
    <row r="135" spans="2:13" x14ac:dyDescent="0.25">
      <c r="B135" s="101"/>
      <c r="C135" s="72"/>
    </row>
    <row r="136" spans="2:13" x14ac:dyDescent="0.25">
      <c r="B136" s="138" t="s">
        <v>352</v>
      </c>
      <c r="C136" s="138"/>
      <c r="D136" s="138"/>
      <c r="E136" s="138"/>
    </row>
    <row r="137" spans="2:13" x14ac:dyDescent="0.25">
      <c r="B137" s="138"/>
      <c r="C137" s="138"/>
      <c r="D137" s="138"/>
      <c r="E137" s="138"/>
    </row>
    <row r="139" spans="2:13" x14ac:dyDescent="0.25">
      <c r="C139" t="s">
        <v>353</v>
      </c>
    </row>
    <row r="141" spans="2:13" ht="14.4" x14ac:dyDescent="0.3">
      <c r="D141" t="s">
        <v>357</v>
      </c>
      <c r="F141" s="73"/>
      <c r="G141" s="140" t="s">
        <v>347</v>
      </c>
      <c r="H141" s="89" t="s">
        <v>28</v>
      </c>
      <c r="I141" s="89" t="s">
        <v>279</v>
      </c>
      <c r="J141" s="89" t="s">
        <v>34</v>
      </c>
      <c r="K141" s="89" t="s">
        <v>280</v>
      </c>
      <c r="L141" s="89" t="s">
        <v>281</v>
      </c>
      <c r="M141" s="90" t="s">
        <v>282</v>
      </c>
    </row>
    <row r="142" spans="2:13" x14ac:dyDescent="0.25">
      <c r="C142" t="s">
        <v>354</v>
      </c>
      <c r="D142">
        <f>SUMIF(I141:I151,"Electronics", K141:K151)</f>
        <v>1350</v>
      </c>
      <c r="F142" s="142" t="s">
        <v>285</v>
      </c>
      <c r="G142" s="143">
        <f>SUMIF($L$141:$L$151, F142,$M$141:$M$151)</f>
        <v>328000</v>
      </c>
      <c r="H142" s="97" t="s">
        <v>283</v>
      </c>
      <c r="I142" s="77" t="s">
        <v>284</v>
      </c>
      <c r="J142" s="77">
        <v>1000</v>
      </c>
      <c r="K142" s="77">
        <v>200</v>
      </c>
      <c r="L142" s="77" t="s">
        <v>285</v>
      </c>
      <c r="M142" s="84">
        <v>200000</v>
      </c>
    </row>
    <row r="143" spans="2:13" x14ac:dyDescent="0.25">
      <c r="F143" s="141" t="s">
        <v>287</v>
      </c>
      <c r="G143" s="143">
        <f t="shared" ref="G143" si="6">SUMIF($L$141:$L$151, F143,$M$141:$M$151)</f>
        <v>137000</v>
      </c>
      <c r="H143" s="97" t="s">
        <v>286</v>
      </c>
      <c r="I143" s="77" t="s">
        <v>284</v>
      </c>
      <c r="J143" s="77">
        <v>500</v>
      </c>
      <c r="K143" s="77">
        <v>150</v>
      </c>
      <c r="L143" s="77" t="s">
        <v>287</v>
      </c>
      <c r="M143" s="84">
        <v>75000</v>
      </c>
    </row>
    <row r="144" spans="2:13" x14ac:dyDescent="0.25">
      <c r="G144" s="143"/>
      <c r="H144" s="83" t="s">
        <v>288</v>
      </c>
      <c r="I144" s="77" t="s">
        <v>284</v>
      </c>
      <c r="J144" s="77">
        <v>800</v>
      </c>
      <c r="K144" s="77">
        <v>300</v>
      </c>
      <c r="L144" s="77" t="s">
        <v>289</v>
      </c>
      <c r="M144" s="84">
        <v>240000</v>
      </c>
    </row>
    <row r="145" spans="2:13" x14ac:dyDescent="0.25">
      <c r="C145" t="s">
        <v>355</v>
      </c>
      <c r="E145" t="s">
        <v>284</v>
      </c>
      <c r="F145">
        <f>COUNTIF(I142:I151,E145)</f>
        <v>7</v>
      </c>
      <c r="G145" s="143"/>
      <c r="H145" s="83" t="s">
        <v>290</v>
      </c>
      <c r="I145" s="77" t="s">
        <v>284</v>
      </c>
      <c r="J145" s="77">
        <v>1200</v>
      </c>
      <c r="K145" s="77">
        <v>100</v>
      </c>
      <c r="L145" s="77" t="s">
        <v>291</v>
      </c>
      <c r="M145" s="84">
        <v>120000</v>
      </c>
    </row>
    <row r="146" spans="2:13" x14ac:dyDescent="0.25">
      <c r="E146" s="78" t="s">
        <v>293</v>
      </c>
      <c r="F146" s="78">
        <f>COUNTIF(I143:I152,E146)</f>
        <v>3</v>
      </c>
      <c r="H146" s="83" t="s">
        <v>292</v>
      </c>
      <c r="I146" s="77" t="s">
        <v>293</v>
      </c>
      <c r="J146" s="77">
        <v>300</v>
      </c>
      <c r="K146" s="77">
        <v>400</v>
      </c>
      <c r="L146" s="77" t="s">
        <v>285</v>
      </c>
      <c r="M146" s="84">
        <v>120000</v>
      </c>
    </row>
    <row r="147" spans="2:13" x14ac:dyDescent="0.25">
      <c r="F147" s="78"/>
      <c r="H147" s="83" t="s">
        <v>294</v>
      </c>
      <c r="I147" s="77" t="s">
        <v>293</v>
      </c>
      <c r="J147" s="77">
        <v>300</v>
      </c>
      <c r="K147" s="77">
        <v>600</v>
      </c>
      <c r="L147" s="77" t="s">
        <v>287</v>
      </c>
      <c r="M147" s="84">
        <v>30000</v>
      </c>
    </row>
    <row r="148" spans="2:13" x14ac:dyDescent="0.25">
      <c r="C148" t="s">
        <v>356</v>
      </c>
      <c r="H148" s="83" t="s">
        <v>295</v>
      </c>
      <c r="I148" s="77" t="s">
        <v>293</v>
      </c>
      <c r="J148" s="77">
        <v>200</v>
      </c>
      <c r="K148" s="77">
        <v>700</v>
      </c>
      <c r="L148" s="77" t="s">
        <v>289</v>
      </c>
      <c r="M148" s="84">
        <v>14000</v>
      </c>
    </row>
    <row r="149" spans="2:13" x14ac:dyDescent="0.25">
      <c r="H149" s="83" t="s">
        <v>296</v>
      </c>
      <c r="I149" s="77" t="s">
        <v>284</v>
      </c>
      <c r="J149" s="77">
        <v>150</v>
      </c>
      <c r="K149" s="77">
        <v>200</v>
      </c>
      <c r="L149" s="77">
        <v>200</v>
      </c>
      <c r="M149" s="84">
        <v>7500</v>
      </c>
    </row>
    <row r="150" spans="2:13" x14ac:dyDescent="0.25">
      <c r="H150" s="83" t="s">
        <v>297</v>
      </c>
      <c r="I150" s="77" t="s">
        <v>284</v>
      </c>
      <c r="J150" s="77">
        <v>200</v>
      </c>
      <c r="K150" s="77">
        <v>200</v>
      </c>
      <c r="L150" s="77" t="s">
        <v>285</v>
      </c>
      <c r="M150" s="84">
        <v>8000</v>
      </c>
    </row>
    <row r="151" spans="2:13" x14ac:dyDescent="0.25">
      <c r="H151" s="85" t="s">
        <v>298</v>
      </c>
      <c r="I151" s="86" t="s">
        <v>284</v>
      </c>
      <c r="J151" s="86">
        <v>400</v>
      </c>
      <c r="K151" s="86">
        <v>200</v>
      </c>
      <c r="L151" s="86" t="s">
        <v>287</v>
      </c>
      <c r="M151" s="87">
        <v>32000</v>
      </c>
    </row>
    <row r="152" spans="2:13" x14ac:dyDescent="0.25">
      <c r="B152" s="138" t="s">
        <v>358</v>
      </c>
      <c r="C152" s="138"/>
      <c r="D152" s="138"/>
      <c r="E152" s="138"/>
    </row>
    <row r="153" spans="2:13" x14ac:dyDescent="0.25">
      <c r="B153" s="138"/>
      <c r="C153" s="138"/>
      <c r="D153" s="138"/>
      <c r="E153" s="138"/>
    </row>
    <row r="157" spans="2:13" x14ac:dyDescent="0.25">
      <c r="C157" t="s">
        <v>359</v>
      </c>
      <c r="D157" t="s">
        <v>361</v>
      </c>
      <c r="F157">
        <f>MEDIAN(J142:J151)</f>
        <v>350</v>
      </c>
    </row>
    <row r="158" spans="2:13" x14ac:dyDescent="0.25">
      <c r="C158" t="s">
        <v>364</v>
      </c>
      <c r="D158" t="s">
        <v>362</v>
      </c>
      <c r="F158">
        <f>_xlfn.MODE.SNGL(J142:J151)</f>
        <v>300</v>
      </c>
    </row>
    <row r="159" spans="2:13" x14ac:dyDescent="0.25">
      <c r="C159" t="s">
        <v>360</v>
      </c>
      <c r="D159" t="s">
        <v>363</v>
      </c>
      <c r="F159">
        <f>_xlfn.STDEV.S(J142:J151)</f>
        <v>368.51805322881478</v>
      </c>
      <c r="G159" s="78">
        <f>_xlfn.STDEV.S(K142:K151)</f>
        <v>200.62402647738878</v>
      </c>
    </row>
    <row r="162" spans="2:7" x14ac:dyDescent="0.25">
      <c r="C162" t="s">
        <v>367</v>
      </c>
      <c r="E162">
        <v>-3</v>
      </c>
      <c r="F162">
        <f>ABS(E162)</f>
        <v>3</v>
      </c>
    </row>
    <row r="163" spans="2:7" x14ac:dyDescent="0.25">
      <c r="C163" t="s">
        <v>365</v>
      </c>
      <c r="E163">
        <v>3.1474579999999999</v>
      </c>
      <c r="F163">
        <f>ROUND(E163, 2)</f>
        <v>3.15</v>
      </c>
    </row>
    <row r="164" spans="2:7" x14ac:dyDescent="0.25">
      <c r="C164" t="s">
        <v>366</v>
      </c>
      <c r="E164">
        <v>3</v>
      </c>
      <c r="F164">
        <f>POWER(E164, 4)</f>
        <v>81</v>
      </c>
    </row>
    <row r="167" spans="2:7" x14ac:dyDescent="0.25">
      <c r="B167" s="138" t="s">
        <v>368</v>
      </c>
      <c r="C167" s="138"/>
      <c r="D167" s="138"/>
      <c r="E167" s="138"/>
    </row>
    <row r="168" spans="2:7" x14ac:dyDescent="0.25">
      <c r="B168" s="138"/>
      <c r="C168" s="138"/>
      <c r="D168" s="138"/>
      <c r="E168" s="138"/>
    </row>
    <row r="170" spans="2:7" x14ac:dyDescent="0.25">
      <c r="B170" t="s">
        <v>369</v>
      </c>
    </row>
    <row r="171" spans="2:7" x14ac:dyDescent="0.25">
      <c r="B171" t="s">
        <v>370</v>
      </c>
      <c r="F171" t="s">
        <v>371</v>
      </c>
      <c r="G171" s="78" t="s">
        <v>372</v>
      </c>
    </row>
    <row r="172" spans="2:7" x14ac:dyDescent="0.25">
      <c r="B172" t="s">
        <v>374</v>
      </c>
      <c r="E172">
        <v>0</v>
      </c>
      <c r="F172">
        <v>300000</v>
      </c>
      <c r="G172" s="144">
        <f>PMT(10%/12, 5 *12, - F172)</f>
        <v>6374.1134133804835</v>
      </c>
    </row>
    <row r="173" spans="2:7" x14ac:dyDescent="0.25">
      <c r="C173" t="s">
        <v>373</v>
      </c>
    </row>
    <row r="178" spans="2:6" x14ac:dyDescent="0.25">
      <c r="B178" s="138" t="s">
        <v>375</v>
      </c>
      <c r="C178" s="138"/>
      <c r="D178" s="138"/>
      <c r="E178" s="138"/>
    </row>
    <row r="179" spans="2:6" x14ac:dyDescent="0.25">
      <c r="B179" s="138"/>
      <c r="C179" s="138"/>
      <c r="D179" s="138"/>
      <c r="E179" s="138"/>
    </row>
    <row r="181" spans="2:6" x14ac:dyDescent="0.25">
      <c r="C181" t="s">
        <v>376</v>
      </c>
      <c r="F181" t="s">
        <v>378</v>
      </c>
    </row>
    <row r="182" spans="2:6" x14ac:dyDescent="0.25">
      <c r="F182" s="145" t="s">
        <v>379</v>
      </c>
    </row>
    <row r="183" spans="2:6" x14ac:dyDescent="0.25">
      <c r="C183">
        <v>23</v>
      </c>
      <c r="D183" t="s">
        <v>65</v>
      </c>
      <c r="E183" t="e">
        <f>C183/D183</f>
        <v>#VALUE!</v>
      </c>
      <c r="F183" s="77" t="str">
        <f>IFERROR(C183/D183, "invalid Operation")</f>
        <v>invalid Operation</v>
      </c>
    </row>
    <row r="184" spans="2:6" x14ac:dyDescent="0.25">
      <c r="C184">
        <v>34</v>
      </c>
      <c r="D184">
        <v>100</v>
      </c>
      <c r="E184" s="78">
        <f t="shared" ref="E184:E186" si="7">C184/D184</f>
        <v>0.34</v>
      </c>
      <c r="F184" s="77">
        <f t="shared" ref="F184:F186" si="8">IFERROR(C184/D184, "invalid Operation")</f>
        <v>0.34</v>
      </c>
    </row>
    <row r="185" spans="2:6" x14ac:dyDescent="0.25">
      <c r="C185">
        <v>24</v>
      </c>
      <c r="D185" t="s">
        <v>377</v>
      </c>
      <c r="E185" s="78" t="e">
        <f t="shared" si="7"/>
        <v>#VALUE!</v>
      </c>
      <c r="F185" s="77" t="str">
        <f t="shared" si="8"/>
        <v>invalid Operation</v>
      </c>
    </row>
    <row r="186" spans="2:6" x14ac:dyDescent="0.25">
      <c r="C186">
        <v>45</v>
      </c>
      <c r="D186">
        <v>500</v>
      </c>
      <c r="E186" s="78">
        <f t="shared" si="7"/>
        <v>0.09</v>
      </c>
      <c r="F186" s="77">
        <f t="shared" si="8"/>
        <v>0.09</v>
      </c>
    </row>
    <row r="188" spans="2:6" x14ac:dyDescent="0.25">
      <c r="C188" s="147" t="s">
        <v>34</v>
      </c>
      <c r="D188" s="148" t="s">
        <v>380</v>
      </c>
      <c r="E188" s="61" t="s">
        <v>381</v>
      </c>
      <c r="F188" s="61" t="s">
        <v>382</v>
      </c>
    </row>
    <row r="189" spans="2:6" x14ac:dyDescent="0.25">
      <c r="C189" s="142">
        <v>23</v>
      </c>
      <c r="D189" s="139">
        <v>5</v>
      </c>
      <c r="E189" s="149">
        <f>C189/D189</f>
        <v>4.5999999999999996</v>
      </c>
      <c r="F189" s="77">
        <f>IFERROR(C189/D189,0)</f>
        <v>4.5999999999999996</v>
      </c>
    </row>
    <row r="190" spans="2:6" x14ac:dyDescent="0.25">
      <c r="C190" s="142">
        <v>34</v>
      </c>
      <c r="D190" s="139">
        <v>10</v>
      </c>
      <c r="E190" s="149">
        <f t="shared" ref="E190:E195" si="9">C190/D190</f>
        <v>3.4</v>
      </c>
      <c r="F190" s="77">
        <f t="shared" ref="F190:F195" si="10">IFERROR(C190/D190,0)</f>
        <v>3.4</v>
      </c>
    </row>
    <row r="191" spans="2:6" x14ac:dyDescent="0.25">
      <c r="C191" s="142">
        <v>24</v>
      </c>
      <c r="D191" s="139">
        <v>2</v>
      </c>
      <c r="E191" s="149">
        <f t="shared" si="9"/>
        <v>12</v>
      </c>
      <c r="F191" s="77">
        <f t="shared" si="10"/>
        <v>12</v>
      </c>
    </row>
    <row r="192" spans="2:6" x14ac:dyDescent="0.25">
      <c r="C192" s="142">
        <v>45</v>
      </c>
      <c r="D192" s="139">
        <v>0</v>
      </c>
      <c r="E192" s="149" t="e">
        <f t="shared" si="9"/>
        <v>#DIV/0!</v>
      </c>
      <c r="F192" s="77">
        <f t="shared" si="10"/>
        <v>0</v>
      </c>
    </row>
    <row r="193" spans="1:6" x14ac:dyDescent="0.25">
      <c r="C193" s="142">
        <v>52</v>
      </c>
      <c r="D193" s="139">
        <v>-1</v>
      </c>
      <c r="E193" s="149">
        <f t="shared" si="9"/>
        <v>-52</v>
      </c>
      <c r="F193" s="77">
        <f t="shared" si="10"/>
        <v>-52</v>
      </c>
    </row>
    <row r="194" spans="1:6" x14ac:dyDescent="0.25">
      <c r="C194" s="142">
        <v>56</v>
      </c>
      <c r="D194" s="139">
        <v>70</v>
      </c>
      <c r="E194" s="149">
        <f t="shared" si="9"/>
        <v>0.8</v>
      </c>
      <c r="F194" s="77">
        <f t="shared" si="10"/>
        <v>0.8</v>
      </c>
    </row>
    <row r="195" spans="1:6" x14ac:dyDescent="0.25">
      <c r="C195" s="141">
        <v>27</v>
      </c>
      <c r="D195" s="146">
        <v>0</v>
      </c>
      <c r="E195" s="150" t="e">
        <f t="shared" si="9"/>
        <v>#DIV/0!</v>
      </c>
      <c r="F195" s="77">
        <f t="shared" si="10"/>
        <v>0</v>
      </c>
    </row>
    <row r="197" spans="1:6" x14ac:dyDescent="0.25">
      <c r="E197" t="e">
        <v>#N/A</v>
      </c>
    </row>
    <row r="198" spans="1:6" x14ac:dyDescent="0.25">
      <c r="B198" s="138" t="s">
        <v>383</v>
      </c>
      <c r="C198" s="138"/>
      <c r="D198" s="138"/>
      <c r="E198" s="138"/>
    </row>
    <row r="199" spans="1:6" x14ac:dyDescent="0.25">
      <c r="B199" s="138"/>
      <c r="C199" s="138"/>
      <c r="D199" s="138"/>
      <c r="E199" s="138"/>
    </row>
    <row r="200" spans="1:6" x14ac:dyDescent="0.25">
      <c r="E200" s="78" t="s">
        <v>384</v>
      </c>
    </row>
    <row r="201" spans="1:6" x14ac:dyDescent="0.25">
      <c r="A201" t="e">
        <v>#N/A</v>
      </c>
      <c r="E201">
        <f>_xlfn.IFNA(D201, "Error")</f>
        <v>0</v>
      </c>
    </row>
    <row r="203" spans="1:6" x14ac:dyDescent="0.25">
      <c r="D203" t="s">
        <v>385</v>
      </c>
    </row>
  </sheetData>
  <sortState xmlns:xlrd2="http://schemas.microsoft.com/office/spreadsheetml/2017/richdata2" ref="L8:Q17">
    <sortCondition ref="L8:L17"/>
    <sortCondition ref="P8:P17"/>
  </sortState>
  <mergeCells count="12">
    <mergeCell ref="B136:E137"/>
    <mergeCell ref="B152:E153"/>
    <mergeCell ref="B167:E168"/>
    <mergeCell ref="B178:E179"/>
    <mergeCell ref="B198:E199"/>
    <mergeCell ref="B3:F4"/>
    <mergeCell ref="B71:D72"/>
    <mergeCell ref="B88:E89"/>
    <mergeCell ref="B102:E103"/>
    <mergeCell ref="B116:E117"/>
    <mergeCell ref="D108:F108"/>
    <mergeCell ref="D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</vt:lpstr>
      <vt:lpstr>Cell References</vt:lpstr>
      <vt:lpstr>Shortcuts</vt:lpstr>
      <vt:lpstr>Exercise</vt:lpstr>
      <vt:lpstr>Basic Functions</vt:lpstr>
      <vt:lpstr>Text functions</vt:lpstr>
      <vt:lpstr>Date Time functions</vt:lpstr>
      <vt:lpstr>Advanced - 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Idrees</dc:creator>
  <cp:lastModifiedBy>M Idrees Bhat</cp:lastModifiedBy>
  <cp:lastPrinted>2026-09-12T07:35:02Z</cp:lastPrinted>
  <dcterms:created xsi:type="dcterms:W3CDTF">2015-06-05T18:17:20Z</dcterms:created>
  <dcterms:modified xsi:type="dcterms:W3CDTF">2026-09-19T06:18:38Z</dcterms:modified>
</cp:coreProperties>
</file>