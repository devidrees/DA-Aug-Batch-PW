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evid\Desktop\PW\DA-Aug-Batch-PW\Excel\"/>
    </mc:Choice>
  </mc:AlternateContent>
  <xr:revisionPtr revIDLastSave="0" documentId="13_ncr:1_{3DE0B896-C7B7-4583-AFAE-95D62A0DF4D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ic" sheetId="1" r:id="rId1"/>
    <sheet name="Cell References" sheetId="3" r:id="rId2"/>
    <sheet name="Shortcuts" sheetId="2" r:id="rId3"/>
    <sheet name="Exercise" sheetId="4" r:id="rId4"/>
    <sheet name="Basic Fun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7" i="5" l="1" a="1"/>
  <c r="N47" i="5" s="1"/>
  <c r="N48" i="5" a="1"/>
  <c r="N48" i="5" s="1"/>
  <c r="N49" i="5" a="1"/>
  <c r="N49" i="5" s="1"/>
  <c r="N50" i="5" a="1"/>
  <c r="N50" i="5" s="1"/>
  <c r="N51" i="5" a="1"/>
  <c r="N51" i="5"/>
  <c r="N52" i="5" a="1"/>
  <c r="N52" i="5" s="1"/>
  <c r="N53" i="5" a="1"/>
  <c r="N53" i="5" s="1"/>
  <c r="N46" i="5" a="1"/>
  <c r="N46" i="5" s="1"/>
  <c r="E48" i="5"/>
  <c r="E49" i="5"/>
  <c r="E50" i="5"/>
  <c r="E51" i="5"/>
  <c r="E52" i="5"/>
  <c r="E53" i="5"/>
  <c r="F11" i="5"/>
  <c r="J35" i="5"/>
  <c r="J32" i="5"/>
  <c r="J31" i="5"/>
  <c r="J28" i="5"/>
  <c r="J27" i="5"/>
  <c r="J26" i="5"/>
  <c r="J30" i="5"/>
  <c r="J29" i="5"/>
  <c r="J25" i="5"/>
  <c r="J24" i="5"/>
  <c r="J23" i="5"/>
  <c r="R36" i="5"/>
  <c r="J20" i="5"/>
  <c r="J19" i="5"/>
  <c r="J22" i="5"/>
  <c r="R31" i="5"/>
  <c r="R32" i="5"/>
  <c r="R33" i="5"/>
  <c r="R30" i="5"/>
  <c r="R25" i="5"/>
  <c r="R27" i="5"/>
  <c r="R24" i="5"/>
  <c r="R28" i="5" s="1"/>
  <c r="S28" i="5"/>
  <c r="J21" i="5"/>
  <c r="N13" i="5"/>
  <c r="F12" i="5" a="1"/>
  <c r="F12" i="5" s="1"/>
  <c r="F10" i="5"/>
  <c r="D18" i="3"/>
  <c r="E6" i="3"/>
  <c r="E7" i="3"/>
  <c r="E8" i="3"/>
  <c r="E9" i="3"/>
  <c r="H2" i="4"/>
  <c r="H3" i="4"/>
  <c r="H4" i="4"/>
  <c r="H5" i="4"/>
  <c r="H6" i="4"/>
  <c r="F3" i="4"/>
  <c r="F4" i="4"/>
  <c r="F5" i="4"/>
  <c r="F6" i="4"/>
  <c r="D6" i="4"/>
  <c r="F2" i="4"/>
  <c r="C16" i="4"/>
  <c r="D16" i="4"/>
  <c r="E16" i="4"/>
  <c r="F16" i="4"/>
  <c r="B16" i="4"/>
  <c r="D5" i="4"/>
  <c r="D4" i="4"/>
  <c r="D3" i="4"/>
  <c r="D2" i="4"/>
  <c r="F30" i="3"/>
  <c r="G30" i="3"/>
  <c r="H30" i="3"/>
  <c r="I30" i="3"/>
  <c r="J30" i="3"/>
  <c r="K30" i="3"/>
  <c r="L30" i="3"/>
  <c r="F31" i="3"/>
  <c r="G31" i="3"/>
  <c r="H31" i="3"/>
  <c r="I31" i="3"/>
  <c r="J31" i="3"/>
  <c r="K31" i="3"/>
  <c r="L31" i="3"/>
  <c r="F32" i="3"/>
  <c r="G32" i="3"/>
  <c r="H32" i="3"/>
  <c r="I32" i="3"/>
  <c r="J32" i="3"/>
  <c r="K32" i="3"/>
  <c r="L32" i="3"/>
  <c r="F33" i="3"/>
  <c r="G33" i="3"/>
  <c r="H33" i="3"/>
  <c r="I33" i="3"/>
  <c r="J33" i="3"/>
  <c r="K33" i="3"/>
  <c r="L33" i="3"/>
  <c r="F34" i="3"/>
  <c r="G34" i="3"/>
  <c r="H34" i="3"/>
  <c r="I34" i="3"/>
  <c r="J34" i="3"/>
  <c r="K34" i="3"/>
  <c r="L34" i="3"/>
  <c r="F35" i="3"/>
  <c r="G35" i="3"/>
  <c r="H35" i="3"/>
  <c r="I35" i="3"/>
  <c r="J35" i="3"/>
  <c r="K35" i="3"/>
  <c r="L35" i="3"/>
  <c r="F36" i="3"/>
  <c r="G36" i="3"/>
  <c r="H36" i="3"/>
  <c r="I36" i="3"/>
  <c r="J36" i="3"/>
  <c r="K36" i="3"/>
  <c r="L36" i="3"/>
  <c r="F37" i="3"/>
  <c r="G37" i="3"/>
  <c r="H37" i="3"/>
  <c r="I37" i="3"/>
  <c r="J37" i="3"/>
  <c r="K37" i="3"/>
  <c r="L37" i="3"/>
  <c r="F38" i="3"/>
  <c r="G38" i="3"/>
  <c r="H38" i="3"/>
  <c r="I38" i="3"/>
  <c r="J38" i="3"/>
  <c r="K38" i="3"/>
  <c r="L38" i="3"/>
  <c r="F39" i="3"/>
  <c r="G39" i="3"/>
  <c r="H39" i="3"/>
  <c r="I39" i="3"/>
  <c r="J39" i="3"/>
  <c r="K39" i="3"/>
  <c r="L39" i="3"/>
  <c r="E30" i="3"/>
  <c r="E31" i="3"/>
  <c r="E32" i="3"/>
  <c r="E33" i="3"/>
  <c r="E34" i="3"/>
  <c r="E35" i="3"/>
  <c r="E36" i="3"/>
  <c r="E37" i="3"/>
  <c r="E38" i="3"/>
  <c r="E39" i="3"/>
  <c r="D30" i="3"/>
  <c r="D31" i="3"/>
  <c r="D32" i="3"/>
  <c r="D33" i="3"/>
  <c r="D34" i="3"/>
  <c r="D35" i="3"/>
  <c r="D36" i="3"/>
  <c r="D37" i="3"/>
  <c r="D38" i="3"/>
  <c r="D39" i="3"/>
  <c r="C31" i="3"/>
  <c r="C32" i="3"/>
  <c r="C33" i="3"/>
  <c r="C34" i="3"/>
  <c r="C35" i="3"/>
  <c r="C36" i="3"/>
  <c r="C37" i="3"/>
  <c r="C38" i="3"/>
  <c r="C39" i="3"/>
  <c r="C30" i="3"/>
  <c r="D21" i="3"/>
  <c r="D20" i="3"/>
  <c r="D19" i="3"/>
  <c r="D22" i="3"/>
  <c r="D23" i="3"/>
  <c r="E5" i="3"/>
  <c r="R34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Dev Idrees</author>
  </authors>
  <commentList>
    <comment ref="F1" authorId="0" shapeId="0" xr:uid="{19503DD0-5A2C-40C7-9E7E-BD842A74FB81}">
      <text>
        <r>
          <rPr>
            <b/>
            <sz val="9"/>
            <color indexed="81"/>
            <rFont val="Tahoma"/>
            <family val="2"/>
          </rPr>
          <t>Dev Idrees:</t>
        </r>
        <r>
          <rPr>
            <sz val="9"/>
            <color indexed="81"/>
            <rFont val="Tahoma"/>
            <family val="2"/>
          </rPr>
          <t xml:space="preserve">
total price + totalprice * tax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<sst xmlns="http://schemas.openxmlformats.org/spreadsheetml/2006/main" count="146" uniqueCount="117">
  <si>
    <t>Navigate between sheets</t>
  </si>
  <si>
    <t>Ctrl + Pg up/pg down</t>
  </si>
  <si>
    <t>Task</t>
  </si>
  <si>
    <t>Shortcut</t>
  </si>
  <si>
    <t>Ctrl + Z | Ctrl + Y</t>
  </si>
  <si>
    <t>Undo | Redo</t>
  </si>
  <si>
    <t>Workbook can contain a lot of worksheets</t>
  </si>
  <si>
    <t>Ctrl + Arrow Keys</t>
  </si>
  <si>
    <t>Jump to the edge of a data region in the respective direction.</t>
  </si>
  <si>
    <t>Ctrl + Home</t>
  </si>
  <si>
    <t>Ctrl + End</t>
  </si>
  <si>
    <t>Shift + Space</t>
  </si>
  <si>
    <t>Ctrl + Space</t>
  </si>
  <si>
    <t>Alt + Tab</t>
  </si>
  <si>
    <t>F5 or Ctrl + G</t>
  </si>
  <si>
    <t>First cell (A1) in the worksheet</t>
  </si>
  <si>
    <t xml:space="preserve"> Last cell with data</t>
  </si>
  <si>
    <t xml:space="preserve">Select the entire row </t>
  </si>
  <si>
    <t xml:space="preserve">Select the entire column </t>
  </si>
  <si>
    <t>Switch between applications/ workbooks</t>
  </si>
  <si>
    <t>"Go To" dialog box to navigate to a cell or range</t>
  </si>
  <si>
    <t>Cells are the basic unit in excel</t>
  </si>
  <si>
    <r>
      <t>Every cell has an address based on =</t>
    </r>
    <r>
      <rPr>
        <b/>
        <sz val="11"/>
        <color theme="1"/>
        <rFont val="Rockwell"/>
        <family val="2"/>
        <scheme val="minor"/>
      </rPr>
      <t xml:space="preserve"> Column Letter</t>
    </r>
    <r>
      <rPr>
        <sz val="11"/>
        <color theme="1"/>
        <rFont val="Rockwell"/>
        <family val="2"/>
        <scheme val="minor"/>
      </rPr>
      <t xml:space="preserve"> </t>
    </r>
    <r>
      <rPr>
        <b/>
        <sz val="11"/>
        <color theme="1"/>
        <rFont val="Rockwell"/>
        <family val="2"/>
        <scheme val="minor"/>
      </rPr>
      <t>Row Number</t>
    </r>
  </si>
  <si>
    <t>IDREES</t>
  </si>
  <si>
    <t>Name</t>
  </si>
  <si>
    <t>Relative References</t>
  </si>
  <si>
    <t>Absolute References</t>
  </si>
  <si>
    <t>Mixed References</t>
  </si>
  <si>
    <t>Product</t>
  </si>
  <si>
    <t>Burger</t>
  </si>
  <si>
    <t>Pizza</t>
  </si>
  <si>
    <t>Sandwich</t>
  </si>
  <si>
    <t>Coffee</t>
  </si>
  <si>
    <t>Fries</t>
  </si>
  <si>
    <t>Price</t>
  </si>
  <si>
    <t>Quantity</t>
  </si>
  <si>
    <t>Total</t>
  </si>
  <si>
    <t>Show formulas</t>
  </si>
  <si>
    <t>Ctrl + `</t>
  </si>
  <si>
    <t>Alice</t>
  </si>
  <si>
    <t>Bob</t>
  </si>
  <si>
    <t>Charlie</t>
  </si>
  <si>
    <t>Derek</t>
  </si>
  <si>
    <t>Elaine</t>
  </si>
  <si>
    <t>Feroz</t>
  </si>
  <si>
    <t>Marks</t>
  </si>
  <si>
    <t>Percentage</t>
  </si>
  <si>
    <t>Max marks</t>
  </si>
  <si>
    <t>Multiplication table</t>
  </si>
  <si>
    <t>Tax Rate</t>
  </si>
  <si>
    <t>Total Price</t>
  </si>
  <si>
    <t>With Tax</t>
  </si>
  <si>
    <t>Date</t>
  </si>
  <si>
    <t>Ctrl + 1</t>
  </si>
  <si>
    <t>Custom Formats panel</t>
  </si>
  <si>
    <t>for different rates</t>
  </si>
  <si>
    <t>Megha</t>
  </si>
  <si>
    <t>Satyam</t>
  </si>
  <si>
    <t>Shamshad</t>
  </si>
  <si>
    <t>Khalid</t>
  </si>
  <si>
    <t>Pratik</t>
  </si>
  <si>
    <t>Sandeep</t>
  </si>
  <si>
    <t>Irfan</t>
  </si>
  <si>
    <t>Attendance</t>
  </si>
  <si>
    <t>Maths</t>
  </si>
  <si>
    <t>Idrees</t>
  </si>
  <si>
    <t>Functions</t>
  </si>
  <si>
    <t>Math: Things that take input, process it and give us an output</t>
  </si>
  <si>
    <t>Excel: Functions are predefined formulas used to perform calculations</t>
  </si>
  <si>
    <t>Arguments: are the inputs we provide to the functions</t>
  </si>
  <si>
    <t>SUM( number, number,...)</t>
  </si>
  <si>
    <t>Fees (K)</t>
  </si>
  <si>
    <t>Aggregates</t>
  </si>
  <si>
    <t>Calculation that use a lot of data at once to give a summarized number</t>
  </si>
  <si>
    <t xml:space="preserve">Range of cells: </t>
  </si>
  <si>
    <t>N5:N12</t>
  </si>
  <si>
    <t>Adds numerical values in a selected range</t>
  </si>
  <si>
    <t>SUM(range)</t>
  </si>
  <si>
    <t>Syntax</t>
  </si>
  <si>
    <t>Function</t>
  </si>
  <si>
    <t>Example</t>
  </si>
  <si>
    <t>Alt + =</t>
  </si>
  <si>
    <t>Sum in the cell below</t>
  </si>
  <si>
    <r>
      <t xml:space="preserve">Adds numbers that meet a </t>
    </r>
    <r>
      <rPr>
        <b/>
        <sz val="11"/>
        <color theme="1"/>
        <rFont val="Rockwell"/>
        <family val="1"/>
        <scheme val="minor"/>
      </rPr>
      <t>condition</t>
    </r>
  </si>
  <si>
    <t>SUMIF(range,condition)</t>
  </si>
  <si>
    <t>SUMPRODUCT(range,range)</t>
  </si>
  <si>
    <t xml:space="preserve">total = </t>
  </si>
  <si>
    <t>sumproduct =</t>
  </si>
  <si>
    <t>Multiply values and then add the results. SUM of PRODUCTS.</t>
  </si>
  <si>
    <t>PRODUCT(range)</t>
  </si>
  <si>
    <t>Muultiplies numerical values in a selected range</t>
  </si>
  <si>
    <t>AVERAGE(range)</t>
  </si>
  <si>
    <t>AVERAGEIF(range, condition)</t>
  </si>
  <si>
    <t>AVERAGEIFS(range, range, condition)</t>
  </si>
  <si>
    <t>IF Functions</t>
  </si>
  <si>
    <t>COUNT(range)</t>
  </si>
  <si>
    <t>COUNTIF(range, condition)</t>
  </si>
  <si>
    <t>COUNTBLANK(range)</t>
  </si>
  <si>
    <t>COUNTIFS(range,condition,range,condition)</t>
  </si>
  <si>
    <t>Count all empty cells</t>
  </si>
  <si>
    <t>COUNTA(range)</t>
  </si>
  <si>
    <t>Counts all non-empty cells including text</t>
  </si>
  <si>
    <t>Count all the number of non empty cells</t>
  </si>
  <si>
    <t>MIN(range)</t>
  </si>
  <si>
    <t>MAX(range)</t>
  </si>
  <si>
    <t>invalid data type in a range</t>
  </si>
  <si>
    <t>If division by zero</t>
  </si>
  <si>
    <t xml:space="preserve">Invalid reference </t>
  </si>
  <si>
    <t>we test a condition. If condition is true, return a result.</t>
  </si>
  <si>
    <t xml:space="preserve">e.g. </t>
  </si>
  <si>
    <t>IF(condition, value_if_TRUE, value_if_FALSE)</t>
  </si>
  <si>
    <t>age</t>
  </si>
  <si>
    <t>voter</t>
  </si>
  <si>
    <t>Exam Eligible</t>
  </si>
  <si>
    <t>Grades</t>
  </si>
  <si>
    <t>Nested IF</t>
  </si>
  <si>
    <r>
      <rPr>
        <sz val="11"/>
        <color theme="9" tint="-0.249977111117893"/>
        <rFont val="Rockwell"/>
        <family val="1"/>
        <scheme val="minor"/>
      </rPr>
      <t>IF(A2&gt;90, "A",</t>
    </r>
    <r>
      <rPr>
        <sz val="11"/>
        <color theme="1"/>
        <rFont val="Rockwell"/>
        <family val="2"/>
        <scheme val="minor"/>
      </rPr>
      <t xml:space="preserve"> </t>
    </r>
    <r>
      <rPr>
        <sz val="11"/>
        <color theme="4" tint="0.39997558519241921"/>
        <rFont val="Rockwell"/>
        <family val="1"/>
        <scheme val="minor"/>
      </rPr>
      <t>IF(A2&gt; 80, "B",</t>
    </r>
    <r>
      <rPr>
        <sz val="11"/>
        <color theme="7" tint="-0.249977111117893"/>
        <rFont val="Rockwell"/>
        <family val="1"/>
        <scheme val="minor"/>
      </rPr>
      <t xml:space="preserve"> IF(A2&gt; 70, "C" )</t>
    </r>
    <r>
      <rPr>
        <sz val="11"/>
        <color theme="4" tint="0.39997558519241921"/>
        <rFont val="Rockwell"/>
        <family val="1"/>
        <scheme val="minor"/>
      </rPr>
      <t>)</t>
    </r>
    <r>
      <rPr>
        <sz val="11"/>
        <color theme="9" tint="-0.249977111117893"/>
        <rFont val="Rockwell"/>
        <family val="1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</si>
</sst>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₹-4009]\ * #,##0.00_ ;_ [$₹-4009]\ * \-#,##0.00_ ;_ [$₹-4009]\ * &quot;-&quot;??_ ;_ @_ "/>
    <numFmt numFmtId="165" formatCode="[$-14009]dd/mm/yyyy;@"/>
  </numFmts>
  <fonts count="16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b/>
      <sz val="11"/>
      <color theme="1"/>
      <name val="Rockwell"/>
      <family val="2"/>
      <scheme val="minor"/>
    </font>
    <font>
      <b/>
      <sz val="20"/>
      <color theme="1"/>
      <name val="Rockwell"/>
      <family val="2"/>
      <scheme val="minor"/>
    </font>
    <font>
      <b/>
      <sz val="14"/>
      <color theme="1"/>
      <name val="Rockwel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Rockwell"/>
      <family val="2"/>
      <scheme val="minor"/>
    </font>
    <font>
      <b/>
      <sz val="11"/>
      <color theme="1"/>
      <name val="Rockwell"/>
      <family val="1"/>
      <scheme val="minor"/>
    </font>
    <font>
      <b/>
      <sz val="10"/>
      <color theme="7" tint="-0.249977111117893"/>
      <name val="Aptos"/>
      <family val="2"/>
    </font>
    <font>
      <sz val="11"/>
      <color theme="1"/>
      <name val="Rockwell"/>
      <family val="1"/>
      <scheme val="minor"/>
    </font>
    <font>
      <b/>
      <sz val="9"/>
      <color theme="7" tint="-0.249977111117893"/>
      <name val="Aptos"/>
      <family val="2"/>
    </font>
    <font>
      <b/>
      <sz val="8"/>
      <color theme="7" tint="-0.249977111117893"/>
      <name val="Aptos"/>
      <family val="2"/>
    </font>
    <font>
      <sz val="11"/>
      <color theme="7" tint="-0.249977111117893"/>
      <name val="Rockwell"/>
      <family val="1"/>
      <scheme val="minor"/>
    </font>
    <font>
      <sz val="11"/>
      <color theme="4" tint="0.39997558519241921"/>
      <name val="Rockwell"/>
      <family val="1"/>
      <scheme val="minor"/>
    </font>
    <font>
      <sz val="11"/>
      <color theme="9" tint="-0.249977111117893"/>
      <name val="Rockwell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9" fontId="0" fillId="0" borderId="0" xfId="1" applyFont="1"/>
    <xf numFmtId="0" fontId="0" fillId="3" borderId="0" xfId="0" applyFill="1"/>
    <xf numFmtId="0" fontId="0" fillId="3" borderId="0" xfId="0" applyFont="1" applyFill="1"/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Font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/>
    <xf numFmtId="0" fontId="4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0" fillId="0" borderId="0" xfId="0"/>
    <xf numFmtId="0" fontId="0" fillId="0" borderId="0" xfId="0" applyFill="1" applyBorder="1"/>
    <xf numFmtId="0" fontId="0" fillId="6" borderId="0" xfId="0" applyFill="1"/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0" fillId="6" borderId="0" xfId="0" applyFill="1"/>
    <xf numFmtId="0" fontId="11" fillId="0" borderId="0" xfId="0" applyFont="1" applyAlignment="1">
      <alignment horizontal="right"/>
    </xf>
    <xf numFmtId="0" fontId="9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0" fontId="10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576540</xdr:colOff>
      <xdr:row>41</xdr:row>
      <xdr:rowOff>61404</xdr:rowOff>
    </xdr:from>
    <xdr:to>
      <xdr:col>3</xdr:col>
      <xdr:colOff>586620</xdr:colOff>
      <xdr:row>41</xdr:row>
      <xdr:rowOff>64284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6FAC15E4-90E9-8932-9951-FD7964F39201}"/>
                </a:ext>
              </a:extLst>
            </xdr14:cNvPr>
            <xdr14:cNvContentPartPr/>
          </xdr14:nvContentPartPr>
          <xdr14:nvPr macro=""/>
          <xdr14:xfrm>
            <a:off x="4810680" y="7760917"/>
            <a:ext cx="20160" cy="2880"/>
          </xdr14:xfrm>
        </xdr:contentPart>
      </mc:Choice>
      <mc:Fallback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6FAC15E4-90E9-8932-9951-FD7964F3920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804560" y="7754797"/>
              <a:ext cx="32400" cy="15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06T04:59:34.20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408 1 172 0 0,'-8'2'180'0'0,"4"-2"-32"0"0,0 3-8 0 0,-7-3-8 0 0,-1 0-8 0 0,4 0-8 0 0,4 0-36 0 0,0 0-28 0 0,8 0-28 0 0,0 0-12 0 0,4 0-8 0 0,0 0-4 0 0,-8 2-612 0 0,-4-2 72 0 0</inkml:trace>
</inkml:ink>
</file>

<file path=xl/theme/theme1.xml><?xml version="1.0" encoding="utf-8"?>
<a:theme xmlns:a="http://schemas.openxmlformats.org/drawingml/2006/main" name="Atlas">
  <a:themeElements>
    <a:clrScheme name="Atlas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F81B02"/>
      </a:accent1>
      <a:accent2>
        <a:srgbClr val="FC7715"/>
      </a:accent2>
      <a:accent3>
        <a:srgbClr val="AFBF41"/>
      </a:accent3>
      <a:accent4>
        <a:srgbClr val="50C49F"/>
      </a:accent4>
      <a:accent5>
        <a:srgbClr val="3B95C4"/>
      </a:accent5>
      <a:accent6>
        <a:srgbClr val="B560D4"/>
      </a:accent6>
      <a:hlink>
        <a:srgbClr val="FC5A1A"/>
      </a:hlink>
      <a:folHlink>
        <a:srgbClr val="B49E74"/>
      </a:folHlink>
    </a:clrScheme>
    <a:fontScheme name="Atlas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tlas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alpha val="60000"/>
                <a:satMod val="109000"/>
                <a:lumMod val="110000"/>
              </a:schemeClr>
            </a:gs>
            <a:gs pos="100000">
              <a:schemeClr val="phClr">
                <a:tint val="78000"/>
                <a:alpha val="92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satMod val="110000"/>
                <a:lumMod val="104000"/>
              </a:schemeClr>
            </a:gs>
            <a:gs pos="69000">
              <a:schemeClr val="phClr">
                <a:shade val="84000"/>
                <a:satMod val="130000"/>
                <a:lumMod val="92000"/>
              </a:schemeClr>
            </a:gs>
            <a:gs pos="100000">
              <a:schemeClr val="phClr">
                <a:shade val="76000"/>
                <a:satMod val="130000"/>
                <a:lumMod val="88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>
              <a:shade val="90000"/>
            </a:schemeClr>
          </a:solidFill>
          <a:prstDash val="solid"/>
        </a:ln>
        <a:ln w="15875" cap="flat" cmpd="sng" algn="ctr">
          <a:solidFill>
            <a:schemeClr val="phClr">
              <a:shade val="90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>
            <a:bevelT w="0" h="0"/>
          </a:sp3d>
        </a:effectStyle>
      </a:effectStyleLst>
      <a:bgFillStyleLst>
        <a:solidFill>
          <a:schemeClr val="phClr"/>
        </a:solidFill>
        <a:solidFill>
          <a:schemeClr val="phClr"/>
        </a:solidFill>
        <a:gradFill rotWithShape="1">
          <a:gsLst>
            <a:gs pos="10000">
              <a:schemeClr val="phClr">
                <a:tint val="94000"/>
                <a:lumMod val="116000"/>
              </a:schemeClr>
            </a:gs>
            <a:gs pos="100000">
              <a:schemeClr val="phClr">
                <a:tint val="98000"/>
                <a:shade val="86000"/>
                <a:satMod val="90000"/>
                <a:lumMod val="88000"/>
              </a:schemeClr>
            </a:gs>
          </a:gsLst>
          <a:path path="circle">
            <a:fillToRect l="50000" t="15000" r="50000" b="169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Atlas" id="{5156B0E4-0EB1-49FE-A26B-15F6F698AEC6}" vid="{508F7963-D0B5-43F7-BB2C-FCE3009C08EC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</sheetPr>
  <dimension ref="B4:B8"/>
  <sheetViews>
    <sheetView workbookViewId="0">
      <selection activeCell="F12" sqref="F12"/>
    </sheetView>
  </sheetViews>
  <sheetFormatPr defaultRowHeight="13.8" x14ac:dyDescent="0.25"/>
  <sheetData>
    <row r="4" spans="2:2" x14ac:dyDescent="0.25">
      <c r="B4" t="s">
        <v>6</v>
      </c>
    </row>
    <row r="6" spans="2:2" x14ac:dyDescent="0.25">
      <c r="B6" t="s">
        <v>21</v>
      </c>
    </row>
    <row r="8" spans="2:2" ht="14.4" x14ac:dyDescent="0.3">
      <c r="B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B10C-FF2B-4B2F-B316-136D4DB7CE76}">
  <sheetPr>
    <tabColor theme="9" tint="0.39997558519241921"/>
  </sheetPr>
  <dimension ref="B1:N39"/>
  <sheetViews>
    <sheetView topLeftCell="A27" zoomScale="115" zoomScaleNormal="115" workbookViewId="0">
      <selection activeCell="F42" sqref="F42"/>
    </sheetView>
  </sheetViews>
  <sheetFormatPr defaultRowHeight="13.8" x14ac:dyDescent="0.25"/>
  <sheetData>
    <row r="1" spans="2:14" ht="18" x14ac:dyDescent="0.25">
      <c r="B1" s="6"/>
      <c r="C1" s="6"/>
      <c r="D1" s="6"/>
      <c r="E1" s="6"/>
    </row>
    <row r="2" spans="2:14" ht="18" customHeight="1" x14ac:dyDescent="0.25">
      <c r="B2" s="20" t="s">
        <v>25</v>
      </c>
      <c r="C2" s="20"/>
      <c r="D2" s="20"/>
      <c r="E2" s="20"/>
    </row>
    <row r="3" spans="2:14" ht="14.4" customHeight="1" x14ac:dyDescent="0.25">
      <c r="B3" s="20"/>
      <c r="C3" s="20"/>
      <c r="D3" s="20"/>
      <c r="E3" s="20"/>
    </row>
    <row r="4" spans="2:14" x14ac:dyDescent="0.25">
      <c r="B4" s="5" t="s">
        <v>28</v>
      </c>
      <c r="C4" s="5" t="s">
        <v>34</v>
      </c>
      <c r="D4" s="5" t="s">
        <v>35</v>
      </c>
      <c r="E4" s="5" t="s">
        <v>36</v>
      </c>
    </row>
    <row r="5" spans="2:14" x14ac:dyDescent="0.25">
      <c r="B5" t="s">
        <v>29</v>
      </c>
      <c r="C5">
        <v>120</v>
      </c>
      <c r="D5">
        <v>2</v>
      </c>
      <c r="E5">
        <f xml:space="preserve"> C5 * D5</f>
        <v>240</v>
      </c>
    </row>
    <row r="6" spans="2:14" x14ac:dyDescent="0.25">
      <c r="B6" t="s">
        <v>30</v>
      </c>
      <c r="C6">
        <v>550</v>
      </c>
      <c r="D6">
        <v>1</v>
      </c>
      <c r="E6">
        <f t="shared" ref="E6:E9" si="0" xml:space="preserve"> C6 * D6</f>
        <v>550</v>
      </c>
    </row>
    <row r="7" spans="2:14" ht="14.4" customHeight="1" x14ac:dyDescent="0.25">
      <c r="B7" t="s">
        <v>31</v>
      </c>
      <c r="C7">
        <v>150</v>
      </c>
      <c r="D7">
        <v>2</v>
      </c>
      <c r="E7">
        <f t="shared" si="0"/>
        <v>300</v>
      </c>
      <c r="N7" s="7"/>
    </row>
    <row r="8" spans="2:14" ht="14.4" customHeight="1" x14ac:dyDescent="0.25">
      <c r="B8" t="s">
        <v>32</v>
      </c>
      <c r="C8">
        <v>100</v>
      </c>
      <c r="D8">
        <v>2</v>
      </c>
      <c r="E8">
        <f t="shared" si="0"/>
        <v>200</v>
      </c>
      <c r="N8" s="7"/>
    </row>
    <row r="9" spans="2:14" x14ac:dyDescent="0.25">
      <c r="B9" t="s">
        <v>33</v>
      </c>
      <c r="C9">
        <v>150</v>
      </c>
      <c r="D9">
        <v>1</v>
      </c>
      <c r="E9">
        <f t="shared" si="0"/>
        <v>150</v>
      </c>
    </row>
    <row r="14" spans="2:14" ht="14.4" customHeight="1" x14ac:dyDescent="0.25">
      <c r="B14" s="20" t="s">
        <v>26</v>
      </c>
      <c r="C14" s="20"/>
      <c r="D14" s="20"/>
      <c r="E14" s="20"/>
    </row>
    <row r="15" spans="2:14" ht="14.4" customHeight="1" x14ac:dyDescent="0.25">
      <c r="B15" s="20"/>
      <c r="C15" s="20"/>
      <c r="D15" s="20"/>
      <c r="E15" s="20"/>
    </row>
    <row r="16" spans="2:14" x14ac:dyDescent="0.25">
      <c r="B16" s="5" t="s">
        <v>47</v>
      </c>
      <c r="C16" s="5">
        <v>100</v>
      </c>
    </row>
    <row r="17" spans="2:12" x14ac:dyDescent="0.25">
      <c r="B17" s="5" t="s">
        <v>24</v>
      </c>
      <c r="C17" s="5" t="s">
        <v>45</v>
      </c>
      <c r="D17" s="5" t="s">
        <v>46</v>
      </c>
    </row>
    <row r="18" spans="2:12" x14ac:dyDescent="0.25">
      <c r="B18" t="s">
        <v>39</v>
      </c>
      <c r="C18">
        <v>85</v>
      </c>
      <c r="D18" s="8">
        <f>C18 / $C$16</f>
        <v>0.85</v>
      </c>
    </row>
    <row r="19" spans="2:12" x14ac:dyDescent="0.25">
      <c r="B19" t="s">
        <v>40</v>
      </c>
      <c r="C19">
        <v>62</v>
      </c>
      <c r="D19" s="8">
        <f t="shared" ref="D18:D23" si="1">C19 / $C$16</f>
        <v>0.62</v>
      </c>
    </row>
    <row r="20" spans="2:12" x14ac:dyDescent="0.25">
      <c r="B20" t="s">
        <v>41</v>
      </c>
      <c r="C20">
        <v>73</v>
      </c>
      <c r="D20" s="8">
        <f t="shared" si="1"/>
        <v>0.73</v>
      </c>
    </row>
    <row r="21" spans="2:12" x14ac:dyDescent="0.25">
      <c r="B21" t="s">
        <v>42</v>
      </c>
      <c r="C21">
        <v>93</v>
      </c>
      <c r="D21" s="8">
        <f t="shared" si="1"/>
        <v>0.93</v>
      </c>
    </row>
    <row r="22" spans="2:12" x14ac:dyDescent="0.25">
      <c r="B22" t="s">
        <v>43</v>
      </c>
      <c r="C22">
        <v>68</v>
      </c>
      <c r="D22" s="8">
        <f t="shared" si="1"/>
        <v>0.68</v>
      </c>
    </row>
    <row r="23" spans="2:12" x14ac:dyDescent="0.25">
      <c r="B23" t="s">
        <v>44</v>
      </c>
      <c r="C23">
        <v>75</v>
      </c>
      <c r="D23" s="8">
        <f t="shared" si="1"/>
        <v>0.75</v>
      </c>
    </row>
    <row r="26" spans="2:12" ht="14.4" customHeight="1" x14ac:dyDescent="0.25">
      <c r="B26" s="20" t="s">
        <v>27</v>
      </c>
      <c r="C26" s="20"/>
      <c r="D26" s="20"/>
      <c r="E26" s="20"/>
      <c r="F26" s="20"/>
    </row>
    <row r="27" spans="2:12" ht="14.4" customHeight="1" x14ac:dyDescent="0.25">
      <c r="B27" s="20"/>
      <c r="C27" s="20"/>
      <c r="D27" s="20"/>
      <c r="E27" s="20"/>
      <c r="F27" s="20"/>
    </row>
    <row r="28" spans="2:12" x14ac:dyDescent="0.25">
      <c r="C28" s="19" t="s">
        <v>48</v>
      </c>
      <c r="D28" s="19"/>
      <c r="E28" s="19"/>
      <c r="F28" s="19"/>
      <c r="G28" s="19"/>
      <c r="H28" s="19"/>
      <c r="I28" s="19"/>
      <c r="J28" s="19"/>
      <c r="K28" s="19"/>
      <c r="L28" s="19"/>
    </row>
    <row r="29" spans="2:12" x14ac:dyDescent="0.25">
      <c r="C29" s="9">
        <v>1</v>
      </c>
      <c r="D29" s="9">
        <v>2</v>
      </c>
      <c r="E29" s="9">
        <v>3</v>
      </c>
      <c r="F29" s="9">
        <v>4</v>
      </c>
      <c r="G29" s="9">
        <v>5</v>
      </c>
      <c r="H29" s="9">
        <v>6</v>
      </c>
      <c r="I29" s="9">
        <v>7</v>
      </c>
      <c r="J29" s="9">
        <v>8</v>
      </c>
      <c r="K29" s="9">
        <v>9</v>
      </c>
      <c r="L29" s="9">
        <v>10</v>
      </c>
    </row>
    <row r="30" spans="2:12" x14ac:dyDescent="0.25">
      <c r="B30" s="10">
        <v>1</v>
      </c>
      <c r="C30">
        <f t="shared" ref="C30:L39" si="2" xml:space="preserve"> $B30 * C$29</f>
        <v>1</v>
      </c>
      <c r="D30">
        <f t="shared" si="2"/>
        <v>2</v>
      </c>
      <c r="E30">
        <f t="shared" si="2"/>
        <v>3</v>
      </c>
      <c r="F30">
        <f t="shared" si="2"/>
        <v>4</v>
      </c>
      <c r="G30">
        <f t="shared" si="2"/>
        <v>5</v>
      </c>
      <c r="H30">
        <f t="shared" si="2"/>
        <v>6</v>
      </c>
      <c r="I30">
        <f t="shared" si="2"/>
        <v>7</v>
      </c>
      <c r="J30">
        <f t="shared" si="2"/>
        <v>8</v>
      </c>
      <c r="K30">
        <f t="shared" si="2"/>
        <v>9</v>
      </c>
      <c r="L30">
        <f t="shared" si="2"/>
        <v>10</v>
      </c>
    </row>
    <row r="31" spans="2:12" x14ac:dyDescent="0.25">
      <c r="B31" s="10">
        <v>2</v>
      </c>
      <c r="C31">
        <f t="shared" si="2"/>
        <v>2</v>
      </c>
      <c r="D31">
        <f t="shared" si="2"/>
        <v>4</v>
      </c>
      <c r="E31">
        <f t="shared" si="2"/>
        <v>6</v>
      </c>
      <c r="F31">
        <f t="shared" si="2"/>
        <v>8</v>
      </c>
      <c r="G31">
        <f t="shared" si="2"/>
        <v>10</v>
      </c>
      <c r="H31">
        <f t="shared" si="2"/>
        <v>12</v>
      </c>
      <c r="I31">
        <f t="shared" si="2"/>
        <v>14</v>
      </c>
      <c r="J31">
        <f t="shared" si="2"/>
        <v>16</v>
      </c>
      <c r="K31">
        <f t="shared" si="2"/>
        <v>18</v>
      </c>
      <c r="L31">
        <f t="shared" si="2"/>
        <v>20</v>
      </c>
    </row>
    <row r="32" spans="2:12" x14ac:dyDescent="0.25">
      <c r="B32" s="10">
        <v>3</v>
      </c>
      <c r="C32">
        <f t="shared" si="2"/>
        <v>3</v>
      </c>
      <c r="D32">
        <f t="shared" si="2"/>
        <v>6</v>
      </c>
      <c r="E32">
        <f t="shared" si="2"/>
        <v>9</v>
      </c>
      <c r="F32">
        <f t="shared" si="2"/>
        <v>12</v>
      </c>
      <c r="G32">
        <f t="shared" si="2"/>
        <v>15</v>
      </c>
      <c r="H32">
        <f t="shared" si="2"/>
        <v>18</v>
      </c>
      <c r="I32">
        <f t="shared" si="2"/>
        <v>21</v>
      </c>
      <c r="J32">
        <f t="shared" si="2"/>
        <v>24</v>
      </c>
      <c r="K32">
        <f t="shared" si="2"/>
        <v>27</v>
      </c>
      <c r="L32">
        <f t="shared" si="2"/>
        <v>30</v>
      </c>
    </row>
    <row r="33" spans="2:12" x14ac:dyDescent="0.25">
      <c r="B33" s="10">
        <v>4</v>
      </c>
      <c r="C33">
        <f t="shared" si="2"/>
        <v>4</v>
      </c>
      <c r="D33">
        <f t="shared" si="2"/>
        <v>8</v>
      </c>
      <c r="E33">
        <f t="shared" si="2"/>
        <v>12</v>
      </c>
      <c r="F33">
        <f t="shared" si="2"/>
        <v>16</v>
      </c>
      <c r="G33">
        <f t="shared" si="2"/>
        <v>20</v>
      </c>
      <c r="H33">
        <f t="shared" si="2"/>
        <v>24</v>
      </c>
      <c r="I33">
        <f t="shared" si="2"/>
        <v>28</v>
      </c>
      <c r="J33">
        <f t="shared" si="2"/>
        <v>32</v>
      </c>
      <c r="K33">
        <f t="shared" si="2"/>
        <v>36</v>
      </c>
      <c r="L33">
        <f t="shared" si="2"/>
        <v>40</v>
      </c>
    </row>
    <row r="34" spans="2:12" x14ac:dyDescent="0.25">
      <c r="B34" s="10">
        <v>5</v>
      </c>
      <c r="C34">
        <f t="shared" si="2"/>
        <v>5</v>
      </c>
      <c r="D34">
        <f t="shared" si="2"/>
        <v>10</v>
      </c>
      <c r="E34">
        <f t="shared" si="2"/>
        <v>15</v>
      </c>
      <c r="F34">
        <f t="shared" si="2"/>
        <v>20</v>
      </c>
      <c r="G34">
        <f t="shared" si="2"/>
        <v>25</v>
      </c>
      <c r="H34">
        <f t="shared" si="2"/>
        <v>30</v>
      </c>
      <c r="I34">
        <f t="shared" si="2"/>
        <v>35</v>
      </c>
      <c r="J34">
        <f t="shared" si="2"/>
        <v>40</v>
      </c>
      <c r="K34">
        <f t="shared" si="2"/>
        <v>45</v>
      </c>
      <c r="L34">
        <f t="shared" si="2"/>
        <v>50</v>
      </c>
    </row>
    <row r="35" spans="2:12" x14ac:dyDescent="0.25">
      <c r="B35" s="10">
        <v>6</v>
      </c>
      <c r="C35">
        <f t="shared" si="2"/>
        <v>6</v>
      </c>
      <c r="D35">
        <f t="shared" si="2"/>
        <v>12</v>
      </c>
      <c r="E35">
        <f t="shared" si="2"/>
        <v>18</v>
      </c>
      <c r="F35">
        <f t="shared" si="2"/>
        <v>24</v>
      </c>
      <c r="G35">
        <f t="shared" si="2"/>
        <v>30</v>
      </c>
      <c r="H35">
        <f t="shared" si="2"/>
        <v>36</v>
      </c>
      <c r="I35">
        <f t="shared" si="2"/>
        <v>42</v>
      </c>
      <c r="J35">
        <f t="shared" si="2"/>
        <v>48</v>
      </c>
      <c r="K35">
        <f t="shared" si="2"/>
        <v>54</v>
      </c>
      <c r="L35">
        <f t="shared" si="2"/>
        <v>60</v>
      </c>
    </row>
    <row r="36" spans="2:12" x14ac:dyDescent="0.25">
      <c r="B36" s="10">
        <v>7</v>
      </c>
      <c r="C36">
        <f t="shared" si="2"/>
        <v>7</v>
      </c>
      <c r="D36">
        <f t="shared" si="2"/>
        <v>14</v>
      </c>
      <c r="E36">
        <f t="shared" si="2"/>
        <v>21</v>
      </c>
      <c r="F36">
        <f t="shared" si="2"/>
        <v>28</v>
      </c>
      <c r="G36">
        <f t="shared" si="2"/>
        <v>35</v>
      </c>
      <c r="H36">
        <f t="shared" si="2"/>
        <v>42</v>
      </c>
      <c r="I36">
        <f t="shared" si="2"/>
        <v>49</v>
      </c>
      <c r="J36">
        <f t="shared" si="2"/>
        <v>56</v>
      </c>
      <c r="K36">
        <f t="shared" si="2"/>
        <v>63</v>
      </c>
      <c r="L36">
        <f t="shared" si="2"/>
        <v>70</v>
      </c>
    </row>
    <row r="37" spans="2:12" x14ac:dyDescent="0.25">
      <c r="B37" s="10">
        <v>8</v>
      </c>
      <c r="C37">
        <f t="shared" si="2"/>
        <v>8</v>
      </c>
      <c r="D37">
        <f t="shared" si="2"/>
        <v>16</v>
      </c>
      <c r="E37">
        <f t="shared" si="2"/>
        <v>24</v>
      </c>
      <c r="F37">
        <f t="shared" si="2"/>
        <v>32</v>
      </c>
      <c r="G37">
        <f t="shared" si="2"/>
        <v>40</v>
      </c>
      <c r="H37">
        <f t="shared" si="2"/>
        <v>48</v>
      </c>
      <c r="I37">
        <f t="shared" si="2"/>
        <v>56</v>
      </c>
      <c r="J37">
        <f t="shared" si="2"/>
        <v>64</v>
      </c>
      <c r="K37">
        <f t="shared" si="2"/>
        <v>72</v>
      </c>
      <c r="L37">
        <f t="shared" si="2"/>
        <v>80</v>
      </c>
    </row>
    <row r="38" spans="2:12" x14ac:dyDescent="0.25">
      <c r="B38" s="10">
        <v>9</v>
      </c>
      <c r="C38">
        <f t="shared" si="2"/>
        <v>9</v>
      </c>
      <c r="D38">
        <f t="shared" si="2"/>
        <v>18</v>
      </c>
      <c r="E38">
        <f t="shared" si="2"/>
        <v>27</v>
      </c>
      <c r="F38">
        <f t="shared" si="2"/>
        <v>36</v>
      </c>
      <c r="G38">
        <f t="shared" si="2"/>
        <v>45</v>
      </c>
      <c r="H38">
        <f t="shared" si="2"/>
        <v>54</v>
      </c>
      <c r="I38">
        <f t="shared" si="2"/>
        <v>63</v>
      </c>
      <c r="J38">
        <f t="shared" si="2"/>
        <v>72</v>
      </c>
      <c r="K38">
        <f t="shared" si="2"/>
        <v>81</v>
      </c>
      <c r="L38">
        <f t="shared" si="2"/>
        <v>90</v>
      </c>
    </row>
    <row r="39" spans="2:12" x14ac:dyDescent="0.25">
      <c r="B39" s="10">
        <v>10</v>
      </c>
      <c r="C39">
        <f t="shared" si="2"/>
        <v>10</v>
      </c>
      <c r="D39">
        <f t="shared" si="2"/>
        <v>20</v>
      </c>
      <c r="E39">
        <f t="shared" si="2"/>
        <v>30</v>
      </c>
      <c r="F39">
        <f t="shared" si="2"/>
        <v>40</v>
      </c>
      <c r="G39">
        <f t="shared" si="2"/>
        <v>50</v>
      </c>
      <c r="H39">
        <f t="shared" si="2"/>
        <v>60</v>
      </c>
      <c r="I39">
        <f t="shared" si="2"/>
        <v>70</v>
      </c>
      <c r="J39">
        <f t="shared" si="2"/>
        <v>80</v>
      </c>
      <c r="K39">
        <f t="shared" si="2"/>
        <v>90</v>
      </c>
      <c r="L39">
        <f t="shared" si="2"/>
        <v>100</v>
      </c>
    </row>
  </sheetData>
  <mergeCells count="4">
    <mergeCell ref="C28:L28"/>
    <mergeCell ref="B26:F27"/>
    <mergeCell ref="B2:E3"/>
    <mergeCell ref="B14:E1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16CE3-D1BE-42B9-AE34-032AD0804C23}">
  <sheetPr>
    <tabColor theme="7" tint="0.39997558519241921"/>
  </sheetPr>
  <dimension ref="B3:M22"/>
  <sheetViews>
    <sheetView topLeftCell="A13" zoomScale="175" zoomScaleNormal="175" workbookViewId="0">
      <selection activeCell="B18" sqref="B18:D18"/>
    </sheetView>
  </sheetViews>
  <sheetFormatPr defaultRowHeight="14.4" x14ac:dyDescent="0.25"/>
  <cols>
    <col min="2" max="2" width="8.796875" customWidth="1"/>
    <col min="4" max="4" width="9.69921875" customWidth="1"/>
    <col min="5" max="5" width="8.796875" style="4"/>
  </cols>
  <sheetData>
    <row r="3" spans="2:13" ht="14.4" customHeight="1" x14ac:dyDescent="0.25">
      <c r="B3" s="22" t="s">
        <v>2</v>
      </c>
      <c r="C3" s="22"/>
      <c r="D3" s="22"/>
      <c r="E3" s="22" t="s">
        <v>3</v>
      </c>
      <c r="F3" s="22"/>
    </row>
    <row r="4" spans="2:13" ht="14.4" customHeight="1" x14ac:dyDescent="0.25">
      <c r="B4" s="22"/>
      <c r="C4" s="22"/>
      <c r="D4" s="22"/>
      <c r="E4" s="22"/>
      <c r="F4" s="22"/>
    </row>
    <row r="5" spans="2:13" ht="13.8" x14ac:dyDescent="0.25">
      <c r="B5" s="24" t="s">
        <v>0</v>
      </c>
      <c r="C5" s="24"/>
      <c r="D5" s="24"/>
      <c r="E5" s="24" t="s">
        <v>1</v>
      </c>
      <c r="F5" s="24"/>
      <c r="I5" s="2"/>
      <c r="J5" s="2"/>
      <c r="K5" s="2"/>
      <c r="L5" s="2"/>
      <c r="M5" s="2"/>
    </row>
    <row r="6" spans="2:13" ht="13.8" x14ac:dyDescent="0.25">
      <c r="B6" s="24" t="s">
        <v>5</v>
      </c>
      <c r="C6" s="24"/>
      <c r="D6" s="24"/>
      <c r="E6" s="24" t="s">
        <v>4</v>
      </c>
      <c r="F6" s="24"/>
      <c r="I6" s="2"/>
      <c r="J6" s="2"/>
      <c r="K6" s="2"/>
      <c r="L6" s="2"/>
      <c r="M6" s="2"/>
    </row>
    <row r="7" spans="2:13" ht="13.8" x14ac:dyDescent="0.25">
      <c r="B7" s="23" t="s">
        <v>8</v>
      </c>
      <c r="C7" s="23"/>
      <c r="D7" s="23"/>
      <c r="E7" s="24" t="s">
        <v>7</v>
      </c>
      <c r="F7" s="24"/>
      <c r="J7" s="2"/>
      <c r="K7" s="2"/>
      <c r="L7" s="2"/>
      <c r="M7" s="2"/>
    </row>
    <row r="8" spans="2:13" ht="13.8" x14ac:dyDescent="0.25">
      <c r="B8" s="23"/>
      <c r="C8" s="23"/>
      <c r="D8" s="23"/>
      <c r="E8" s="24"/>
      <c r="F8" s="24"/>
      <c r="I8" s="27" t="s">
        <v>23</v>
      </c>
      <c r="J8" s="27"/>
      <c r="K8" s="27"/>
      <c r="L8" s="27"/>
      <c r="M8" s="2"/>
    </row>
    <row r="9" spans="2:13" ht="13.8" x14ac:dyDescent="0.25">
      <c r="B9" s="24" t="s">
        <v>15</v>
      </c>
      <c r="C9" s="24"/>
      <c r="D9" s="24"/>
      <c r="E9" s="24" t="s">
        <v>9</v>
      </c>
      <c r="F9" s="24"/>
      <c r="I9" s="27"/>
      <c r="J9" s="27"/>
      <c r="K9" s="27"/>
      <c r="L9" s="27"/>
      <c r="M9" s="2"/>
    </row>
    <row r="10" spans="2:13" ht="13.8" x14ac:dyDescent="0.25">
      <c r="B10" s="24" t="s">
        <v>16</v>
      </c>
      <c r="C10" s="24"/>
      <c r="D10" s="24"/>
      <c r="E10" s="24" t="s">
        <v>10</v>
      </c>
      <c r="F10" s="24"/>
      <c r="I10" s="27"/>
      <c r="J10" s="27"/>
      <c r="K10" s="27"/>
      <c r="L10" s="27"/>
      <c r="M10" s="2"/>
    </row>
    <row r="11" spans="2:13" ht="13.8" x14ac:dyDescent="0.25">
      <c r="B11" s="24" t="s">
        <v>17</v>
      </c>
      <c r="C11" s="24"/>
      <c r="D11" s="24"/>
      <c r="E11" s="26" t="s">
        <v>11</v>
      </c>
      <c r="F11" s="26"/>
      <c r="I11" s="27"/>
      <c r="J11" s="27"/>
      <c r="K11" s="27"/>
      <c r="L11" s="27"/>
      <c r="M11" s="2"/>
    </row>
    <row r="12" spans="2:13" ht="13.8" x14ac:dyDescent="0.25">
      <c r="B12" s="24" t="s">
        <v>18</v>
      </c>
      <c r="C12" s="24"/>
      <c r="D12" s="24"/>
      <c r="E12" s="26" t="s">
        <v>12</v>
      </c>
      <c r="F12" s="26"/>
      <c r="I12" s="27"/>
      <c r="J12" s="27"/>
      <c r="K12" s="27"/>
      <c r="L12" s="27"/>
      <c r="M12" s="2"/>
    </row>
    <row r="13" spans="2:13" ht="13.8" x14ac:dyDescent="0.25">
      <c r="B13" s="26" t="s">
        <v>19</v>
      </c>
      <c r="C13" s="26"/>
      <c r="D13" s="26"/>
      <c r="E13" s="26" t="s">
        <v>13</v>
      </c>
      <c r="F13" s="26"/>
      <c r="I13" s="27"/>
      <c r="J13" s="27"/>
      <c r="K13" s="27"/>
      <c r="L13" s="27"/>
      <c r="M13" s="2"/>
    </row>
    <row r="14" spans="2:13" ht="13.8" x14ac:dyDescent="0.25">
      <c r="B14" s="25" t="s">
        <v>20</v>
      </c>
      <c r="C14" s="25"/>
      <c r="D14" s="25"/>
      <c r="E14" s="26" t="s">
        <v>14</v>
      </c>
      <c r="F14" s="26"/>
      <c r="I14" s="27"/>
      <c r="J14" s="27"/>
      <c r="K14" s="27"/>
      <c r="L14" s="27"/>
      <c r="M14" s="2"/>
    </row>
    <row r="15" spans="2:13" ht="13.8" x14ac:dyDescent="0.25">
      <c r="B15" s="25"/>
      <c r="C15" s="25"/>
      <c r="D15" s="25"/>
      <c r="E15" s="26"/>
      <c r="F15" s="26"/>
      <c r="I15" s="27"/>
      <c r="J15" s="27"/>
      <c r="K15" s="27"/>
      <c r="L15" s="27"/>
      <c r="M15" s="2"/>
    </row>
    <row r="16" spans="2:13" ht="13.8" x14ac:dyDescent="0.25">
      <c r="B16" s="26" t="s">
        <v>37</v>
      </c>
      <c r="C16" s="26"/>
      <c r="D16" s="26"/>
      <c r="E16" s="26" t="s">
        <v>38</v>
      </c>
      <c r="F16" s="26"/>
      <c r="I16" s="2"/>
      <c r="J16" s="2"/>
      <c r="K16" s="2"/>
      <c r="L16" s="2"/>
      <c r="M16" s="2"/>
    </row>
    <row r="17" spans="2:13" ht="13.8" x14ac:dyDescent="0.25">
      <c r="B17" s="26" t="s">
        <v>54</v>
      </c>
      <c r="C17" s="26"/>
      <c r="D17" s="26"/>
      <c r="E17" s="26" t="s">
        <v>53</v>
      </c>
      <c r="F17" s="26"/>
      <c r="I17" s="2"/>
      <c r="J17" s="2"/>
      <c r="K17" s="2"/>
      <c r="L17" s="2"/>
      <c r="M17" s="2"/>
    </row>
    <row r="18" spans="2:13" ht="13.8" x14ac:dyDescent="0.25">
      <c r="B18" s="26" t="s">
        <v>82</v>
      </c>
      <c r="C18" s="26"/>
      <c r="D18" s="26"/>
      <c r="E18" s="26" t="s">
        <v>81</v>
      </c>
      <c r="F18" s="26"/>
    </row>
    <row r="19" spans="2:13" ht="13.8" x14ac:dyDescent="0.25">
      <c r="B19" s="21"/>
      <c r="C19" s="21"/>
      <c r="D19" s="21"/>
      <c r="E19" s="21"/>
      <c r="F19" s="21"/>
    </row>
    <row r="20" spans="2:13" ht="13.8" x14ac:dyDescent="0.25">
      <c r="B20" s="21"/>
      <c r="C20" s="21"/>
      <c r="D20" s="21"/>
      <c r="E20" s="21"/>
      <c r="F20" s="21"/>
    </row>
    <row r="21" spans="2:13" ht="13.8" x14ac:dyDescent="0.25">
      <c r="B21" s="21"/>
      <c r="C21" s="21"/>
      <c r="D21" s="21"/>
      <c r="E21" s="21"/>
      <c r="F21" s="21"/>
    </row>
    <row r="22" spans="2:13" ht="13.8" x14ac:dyDescent="0.25">
      <c r="B22" s="2"/>
      <c r="C22" s="2"/>
      <c r="D22" s="2"/>
    </row>
  </sheetData>
  <mergeCells count="33">
    <mergeCell ref="B6:D6"/>
    <mergeCell ref="B9:D9"/>
    <mergeCell ref="B10:D10"/>
    <mergeCell ref="I8:L15"/>
    <mergeCell ref="B5:D5"/>
    <mergeCell ref="E5:F5"/>
    <mergeCell ref="E6:F6"/>
    <mergeCell ref="B21:D21"/>
    <mergeCell ref="B11:D11"/>
    <mergeCell ref="B12:D12"/>
    <mergeCell ref="B13:D13"/>
    <mergeCell ref="B16:D16"/>
    <mergeCell ref="E13:F13"/>
    <mergeCell ref="B17:D17"/>
    <mergeCell ref="B18:D18"/>
    <mergeCell ref="B19:D19"/>
    <mergeCell ref="B20:D20"/>
    <mergeCell ref="E20:F20"/>
    <mergeCell ref="E21:F21"/>
    <mergeCell ref="B3:D4"/>
    <mergeCell ref="E3:F4"/>
    <mergeCell ref="B7:D8"/>
    <mergeCell ref="E7:F8"/>
    <mergeCell ref="B14:D15"/>
    <mergeCell ref="E16:F16"/>
    <mergeCell ref="E17:F17"/>
    <mergeCell ref="E18:F18"/>
    <mergeCell ref="E19:F19"/>
    <mergeCell ref="E14:F15"/>
    <mergeCell ref="E9:F9"/>
    <mergeCell ref="E10:F10"/>
    <mergeCell ref="E11:F11"/>
    <mergeCell ref="E12:F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1ED52-0266-4121-8FA7-648984F270AB}">
  <dimension ref="A1:H16"/>
  <sheetViews>
    <sheetView zoomScale="115" zoomScaleNormal="115" workbookViewId="0">
      <selection activeCell="A2" sqref="A2:A5"/>
    </sheetView>
  </sheetViews>
  <sheetFormatPr defaultRowHeight="13.8" x14ac:dyDescent="0.25"/>
  <cols>
    <col min="1" max="6" width="11.5" customWidth="1"/>
    <col min="7" max="7" width="11.5" style="17" customWidth="1"/>
    <col min="8" max="8" width="11.5" customWidth="1"/>
  </cols>
  <sheetData>
    <row r="1" spans="1:8" s="12" customFormat="1" ht="14.4" x14ac:dyDescent="0.3">
      <c r="A1" s="11" t="s">
        <v>28</v>
      </c>
      <c r="B1" s="11" t="s">
        <v>34</v>
      </c>
      <c r="C1" s="11" t="s">
        <v>35</v>
      </c>
      <c r="D1" s="13" t="s">
        <v>50</v>
      </c>
      <c r="E1" s="11" t="s">
        <v>49</v>
      </c>
      <c r="F1" s="11" t="s">
        <v>51</v>
      </c>
      <c r="G1" s="16" t="s">
        <v>52</v>
      </c>
      <c r="H1" s="12" t="s">
        <v>55</v>
      </c>
    </row>
    <row r="2" spans="1:8" x14ac:dyDescent="0.25">
      <c r="A2" t="s">
        <v>29</v>
      </c>
      <c r="B2" s="14">
        <v>120</v>
      </c>
      <c r="C2" s="1">
        <v>2</v>
      </c>
      <c r="D2" s="14">
        <f xml:space="preserve"> B2 * C2</f>
        <v>240</v>
      </c>
      <c r="E2" s="8">
        <v>0.1</v>
      </c>
      <c r="F2" s="18">
        <f>D2 *$E$2 +D2</f>
        <v>264</v>
      </c>
      <c r="G2" s="17">
        <v>46208</v>
      </c>
      <c r="H2" s="18">
        <f>D2 +D2*E2</f>
        <v>264</v>
      </c>
    </row>
    <row r="3" spans="1:8" x14ac:dyDescent="0.25">
      <c r="A3" t="s">
        <v>30</v>
      </c>
      <c r="B3" s="14">
        <v>550</v>
      </c>
      <c r="C3" s="1">
        <v>1</v>
      </c>
      <c r="D3" s="14">
        <f t="shared" ref="D3:D5" si="0" xml:space="preserve"> B3 * C3</f>
        <v>550</v>
      </c>
      <c r="E3" s="8">
        <v>7.0000000000000007E-2</v>
      </c>
      <c r="F3" s="18">
        <f t="shared" ref="F3:F6" si="1">D3 *$E$2 +D3</f>
        <v>605</v>
      </c>
      <c r="G3" s="17">
        <v>46209</v>
      </c>
      <c r="H3" s="18">
        <f t="shared" ref="H3:H6" si="2">D3 +D3*E3</f>
        <v>588.5</v>
      </c>
    </row>
    <row r="4" spans="1:8" x14ac:dyDescent="0.25">
      <c r="A4" t="s">
        <v>31</v>
      </c>
      <c r="B4" s="14">
        <v>150</v>
      </c>
      <c r="C4" s="1">
        <v>2</v>
      </c>
      <c r="D4" s="14">
        <f t="shared" si="0"/>
        <v>300</v>
      </c>
      <c r="E4" s="8">
        <v>0.06</v>
      </c>
      <c r="F4" s="18">
        <f t="shared" si="1"/>
        <v>330</v>
      </c>
      <c r="G4" s="17">
        <v>46210</v>
      </c>
      <c r="H4" s="18">
        <f t="shared" si="2"/>
        <v>318</v>
      </c>
    </row>
    <row r="5" spans="1:8" x14ac:dyDescent="0.25">
      <c r="A5" t="s">
        <v>32</v>
      </c>
      <c r="B5" s="14">
        <v>100</v>
      </c>
      <c r="C5" s="1">
        <v>2</v>
      </c>
      <c r="D5" s="15">
        <f t="shared" si="0"/>
        <v>200</v>
      </c>
      <c r="E5" s="8">
        <v>0.08</v>
      </c>
      <c r="F5" s="18">
        <f t="shared" si="1"/>
        <v>220</v>
      </c>
      <c r="G5" s="17">
        <v>46211</v>
      </c>
      <c r="H5" s="18">
        <f t="shared" si="2"/>
        <v>216</v>
      </c>
    </row>
    <row r="6" spans="1:8" x14ac:dyDescent="0.25">
      <c r="A6" t="s">
        <v>33</v>
      </c>
      <c r="B6" s="14">
        <v>100</v>
      </c>
      <c r="C6" s="1">
        <v>1</v>
      </c>
      <c r="D6" s="14">
        <f xml:space="preserve"> B6 * C6</f>
        <v>100</v>
      </c>
      <c r="E6" s="8">
        <v>0.08</v>
      </c>
      <c r="F6" s="18">
        <f t="shared" si="1"/>
        <v>110</v>
      </c>
      <c r="G6" s="17">
        <v>46212</v>
      </c>
      <c r="H6" s="18">
        <f t="shared" si="2"/>
        <v>108</v>
      </c>
    </row>
    <row r="9" spans="1:8" x14ac:dyDescent="0.25">
      <c r="C9" s="1"/>
    </row>
    <row r="14" spans="1:8" x14ac:dyDescent="0.25">
      <c r="B14">
        <v>1</v>
      </c>
      <c r="C14">
        <v>2</v>
      </c>
      <c r="D14">
        <v>3</v>
      </c>
      <c r="E14">
        <v>4</v>
      </c>
      <c r="F14">
        <v>5</v>
      </c>
    </row>
    <row r="15" spans="1:8" x14ac:dyDescent="0.25">
      <c r="B15">
        <v>10</v>
      </c>
      <c r="C15">
        <v>10</v>
      </c>
      <c r="D15">
        <v>10</v>
      </c>
      <c r="E15">
        <v>10</v>
      </c>
      <c r="F15">
        <v>10</v>
      </c>
    </row>
    <row r="16" spans="1:8" x14ac:dyDescent="0.25">
      <c r="B16">
        <f>B14+B15</f>
        <v>11</v>
      </c>
      <c r="C16">
        <f t="shared" ref="C16:F16" si="3">C14+C15</f>
        <v>12</v>
      </c>
      <c r="D16">
        <f t="shared" si="3"/>
        <v>13</v>
      </c>
      <c r="E16">
        <f t="shared" si="3"/>
        <v>14</v>
      </c>
      <c r="F16">
        <f t="shared" si="3"/>
        <v>15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2FC96-74E6-469B-BE37-9240C49DD4A1}">
  <dimension ref="A3:S56"/>
  <sheetViews>
    <sheetView tabSelected="1" zoomScale="115" zoomScaleNormal="115" workbookViewId="0">
      <selection activeCell="P14" sqref="P14"/>
    </sheetView>
  </sheetViews>
  <sheetFormatPr defaultRowHeight="13.8" x14ac:dyDescent="0.25"/>
  <cols>
    <col min="2" max="2" width="8.796875" customWidth="1"/>
    <col min="10" max="10" width="11.19921875" customWidth="1"/>
    <col min="11" max="11" width="11.69921875" customWidth="1"/>
    <col min="12" max="12" width="10.59765625" customWidth="1"/>
    <col min="13" max="13" width="13.796875" customWidth="1"/>
    <col min="15" max="15" width="10.296875" bestFit="1" customWidth="1"/>
  </cols>
  <sheetData>
    <row r="3" spans="2:15" ht="18" x14ac:dyDescent="0.35">
      <c r="B3" s="31" t="s">
        <v>66</v>
      </c>
      <c r="C3" s="31"/>
    </row>
    <row r="4" spans="2:15" ht="14.4" x14ac:dyDescent="0.3">
      <c r="B4" t="s">
        <v>67</v>
      </c>
      <c r="K4" s="33" t="s">
        <v>24</v>
      </c>
      <c r="L4" s="32" t="s">
        <v>63</v>
      </c>
      <c r="M4" s="32" t="s">
        <v>64</v>
      </c>
      <c r="N4" s="34" t="s">
        <v>71</v>
      </c>
    </row>
    <row r="5" spans="2:15" x14ac:dyDescent="0.25">
      <c r="K5" t="s">
        <v>56</v>
      </c>
      <c r="L5" s="3">
        <v>96</v>
      </c>
      <c r="M5" s="3">
        <v>95</v>
      </c>
      <c r="N5" s="1">
        <v>30</v>
      </c>
    </row>
    <row r="6" spans="2:15" x14ac:dyDescent="0.25">
      <c r="B6" t="s">
        <v>68</v>
      </c>
      <c r="K6" t="s">
        <v>57</v>
      </c>
      <c r="L6" s="3">
        <v>88</v>
      </c>
      <c r="M6" s="3">
        <v>92</v>
      </c>
      <c r="N6" s="1">
        <v>25</v>
      </c>
    </row>
    <row r="7" spans="2:15" x14ac:dyDescent="0.25">
      <c r="K7" t="s">
        <v>58</v>
      </c>
      <c r="L7" s="3">
        <v>62</v>
      </c>
      <c r="M7" s="3">
        <v>86</v>
      </c>
      <c r="N7" s="1">
        <v>30</v>
      </c>
    </row>
    <row r="8" spans="2:15" x14ac:dyDescent="0.25">
      <c r="C8" t="s">
        <v>69</v>
      </c>
      <c r="K8" t="s">
        <v>59</v>
      </c>
      <c r="L8" s="3">
        <v>43</v>
      </c>
      <c r="M8" s="3">
        <v>72</v>
      </c>
      <c r="N8" s="1">
        <v>45</v>
      </c>
    </row>
    <row r="9" spans="2:15" x14ac:dyDescent="0.25">
      <c r="K9" t="s">
        <v>60</v>
      </c>
      <c r="L9" s="3">
        <v>87</v>
      </c>
      <c r="M9" s="3">
        <v>88</v>
      </c>
      <c r="N9" s="1">
        <v>30</v>
      </c>
    </row>
    <row r="10" spans="2:15" x14ac:dyDescent="0.25">
      <c r="C10" s="29" t="s">
        <v>70</v>
      </c>
      <c r="D10" s="29"/>
      <c r="E10" s="29"/>
      <c r="F10">
        <f>SUM(1,2,3)</f>
        <v>6</v>
      </c>
      <c r="K10" t="s">
        <v>61</v>
      </c>
      <c r="L10" s="3">
        <v>23</v>
      </c>
      <c r="M10" s="3">
        <v>34</v>
      </c>
      <c r="N10" s="1">
        <v>10</v>
      </c>
    </row>
    <row r="11" spans="2:15" x14ac:dyDescent="0.25">
      <c r="F11" t="e">
        <f>SUM(1,2, idrees)</f>
        <v>#NAME?</v>
      </c>
      <c r="K11" t="s">
        <v>62</v>
      </c>
      <c r="L11" s="3">
        <v>97</v>
      </c>
      <c r="M11" s="3">
        <v>41</v>
      </c>
      <c r="N11" s="1">
        <v>45</v>
      </c>
    </row>
    <row r="12" spans="2:15" x14ac:dyDescent="0.25">
      <c r="F12" t="e" cm="1">
        <f t="array" aca="1" ref="F12" ca="1">SUMM(1,2)</f>
        <v>#NAME?</v>
      </c>
      <c r="K12" t="s">
        <v>65</v>
      </c>
      <c r="L12" s="3">
        <v>42</v>
      </c>
      <c r="M12" s="3">
        <v>32</v>
      </c>
      <c r="N12" s="1">
        <v>20</v>
      </c>
    </row>
    <row r="13" spans="2:15" x14ac:dyDescent="0.25">
      <c r="M13" t="s">
        <v>36</v>
      </c>
      <c r="N13" s="1">
        <f>SUM(N5:N12)</f>
        <v>235</v>
      </c>
    </row>
    <row r="14" spans="2:15" ht="14.4" x14ac:dyDescent="0.3">
      <c r="B14" s="35" t="s">
        <v>72</v>
      </c>
      <c r="C14" s="35"/>
    </row>
    <row r="15" spans="2:15" x14ac:dyDescent="0.25">
      <c r="C15" t="s">
        <v>73</v>
      </c>
    </row>
    <row r="16" spans="2:15" x14ac:dyDescent="0.25">
      <c r="F16" s="30"/>
      <c r="M16" t="s">
        <v>74</v>
      </c>
      <c r="O16" t="s">
        <v>75</v>
      </c>
    </row>
    <row r="17" spans="1:19" x14ac:dyDescent="0.25">
      <c r="F17" s="41" t="s">
        <v>75</v>
      </c>
    </row>
    <row r="18" spans="1:19" ht="14.4" x14ac:dyDescent="0.3">
      <c r="B18" s="39" t="s">
        <v>78</v>
      </c>
      <c r="C18" s="39"/>
      <c r="D18" s="39"/>
      <c r="E18" s="36" t="s">
        <v>79</v>
      </c>
      <c r="F18" s="36"/>
      <c r="G18" s="36"/>
      <c r="H18" s="36"/>
      <c r="I18" s="36"/>
      <c r="J18" s="28" t="s">
        <v>80</v>
      </c>
      <c r="K18" s="28"/>
    </row>
    <row r="19" spans="1:19" ht="14.4" x14ac:dyDescent="0.3">
      <c r="B19" s="39" t="s">
        <v>77</v>
      </c>
      <c r="C19" s="39"/>
      <c r="D19" s="39"/>
      <c r="E19" s="36" t="s">
        <v>76</v>
      </c>
      <c r="F19" s="36"/>
      <c r="G19" s="36"/>
      <c r="H19" s="36"/>
      <c r="I19" s="36"/>
      <c r="J19" s="28">
        <f>SUM(N5:N12)</f>
        <v>235</v>
      </c>
      <c r="K19" s="28"/>
    </row>
    <row r="20" spans="1:19" s="41" customFormat="1" ht="14.4" x14ac:dyDescent="0.3">
      <c r="B20" s="39" t="s">
        <v>89</v>
      </c>
      <c r="C20" s="39"/>
      <c r="D20" s="39"/>
      <c r="E20" s="36" t="s">
        <v>90</v>
      </c>
      <c r="F20" s="36"/>
      <c r="G20" s="36"/>
      <c r="H20" s="36"/>
      <c r="I20" s="36"/>
      <c r="J20" s="28">
        <f>PRODUCT(N6:N10)</f>
        <v>10125000</v>
      </c>
      <c r="K20" s="28"/>
    </row>
    <row r="21" spans="1:19" ht="14.4" x14ac:dyDescent="0.3">
      <c r="B21" s="39" t="s">
        <v>84</v>
      </c>
      <c r="C21" s="39"/>
      <c r="D21" s="39"/>
      <c r="E21" s="36" t="s">
        <v>83</v>
      </c>
      <c r="F21" s="36"/>
      <c r="G21" s="36"/>
      <c r="H21" s="36"/>
      <c r="I21" s="36"/>
      <c r="J21" s="28">
        <f xml:space="preserve"> SUMIF(N5:N12, "&gt;20")</f>
        <v>205</v>
      </c>
      <c r="K21" s="28"/>
    </row>
    <row r="22" spans="1:19" ht="14.4" x14ac:dyDescent="0.3">
      <c r="B22" s="39" t="s">
        <v>85</v>
      </c>
      <c r="C22" s="39"/>
      <c r="D22" s="39"/>
      <c r="E22" s="37" t="s">
        <v>88</v>
      </c>
      <c r="F22" s="37"/>
      <c r="G22" s="37"/>
      <c r="H22" s="37"/>
      <c r="I22" s="37"/>
      <c r="J22" s="28">
        <f>SUMPRODUCT(P30:P33,Q30:Q33)</f>
        <v>2250</v>
      </c>
      <c r="K22" s="28"/>
    </row>
    <row r="23" spans="1:19" ht="14.4" x14ac:dyDescent="0.3">
      <c r="A23" s="41"/>
      <c r="B23" s="39" t="s">
        <v>91</v>
      </c>
      <c r="C23" s="39"/>
      <c r="D23" s="39"/>
      <c r="E23" s="21"/>
      <c r="F23" s="21"/>
      <c r="G23" s="21"/>
      <c r="H23" s="21"/>
      <c r="I23" s="21"/>
      <c r="J23" s="28">
        <f>AVERAGE(N5:N12)</f>
        <v>29.375</v>
      </c>
      <c r="K23" s="28"/>
    </row>
    <row r="24" spans="1:19" ht="14.4" x14ac:dyDescent="0.3">
      <c r="B24" s="39" t="s">
        <v>92</v>
      </c>
      <c r="C24" s="39"/>
      <c r="D24" s="39"/>
      <c r="E24" s="21"/>
      <c r="F24" s="21"/>
      <c r="G24" s="21"/>
      <c r="H24" s="21"/>
      <c r="I24" s="21"/>
      <c r="J24" s="28">
        <f>AVERAGEIF(N5:N12,"&gt;10")</f>
        <v>32.142857142857146</v>
      </c>
      <c r="K24" s="28"/>
      <c r="P24">
        <v>2</v>
      </c>
      <c r="Q24">
        <v>3</v>
      </c>
      <c r="R24" s="38">
        <f>PRODUCT(P24:Q24)</f>
        <v>6</v>
      </c>
    </row>
    <row r="25" spans="1:19" x14ac:dyDescent="0.25">
      <c r="B25" s="48" t="s">
        <v>93</v>
      </c>
      <c r="C25" s="48"/>
      <c r="D25" s="48"/>
      <c r="E25" s="21"/>
      <c r="F25" s="21"/>
      <c r="G25" s="21"/>
      <c r="H25" s="21"/>
      <c r="I25" s="21"/>
      <c r="J25" s="28">
        <f>AVERAGEIFS(N5:N12, L5:L12,"&gt;75")</f>
        <v>32.5</v>
      </c>
      <c r="K25" s="28"/>
      <c r="P25">
        <v>2</v>
      </c>
      <c r="Q25">
        <v>3</v>
      </c>
      <c r="R25" s="38">
        <f t="shared" ref="R25:R27" si="0">PRODUCT(P25:Q25)</f>
        <v>6</v>
      </c>
    </row>
    <row r="26" spans="1:19" s="41" customFormat="1" ht="14.4" x14ac:dyDescent="0.3">
      <c r="B26" s="49" t="s">
        <v>95</v>
      </c>
      <c r="C26" s="49"/>
      <c r="D26" s="49"/>
      <c r="E26" s="21" t="s">
        <v>102</v>
      </c>
      <c r="F26" s="21"/>
      <c r="G26" s="21"/>
      <c r="H26" s="21"/>
      <c r="I26" s="21"/>
      <c r="J26" s="28">
        <f>COUNT(E20:I28)</f>
        <v>0</v>
      </c>
      <c r="K26" s="28"/>
      <c r="R26" s="47"/>
    </row>
    <row r="27" spans="1:19" ht="14.4" x14ac:dyDescent="0.3">
      <c r="B27" s="49" t="s">
        <v>100</v>
      </c>
      <c r="C27" s="49"/>
      <c r="D27" s="49"/>
      <c r="E27" s="21" t="s">
        <v>101</v>
      </c>
      <c r="F27" s="21"/>
      <c r="G27" s="21"/>
      <c r="H27" s="21"/>
      <c r="I27" s="21"/>
      <c r="J27" s="28">
        <f>COUNTA(E20:I28)</f>
        <v>6</v>
      </c>
      <c r="K27" s="28"/>
      <c r="P27">
        <v>2</v>
      </c>
      <c r="Q27">
        <v>3</v>
      </c>
      <c r="R27" s="38">
        <f t="shared" si="0"/>
        <v>6</v>
      </c>
    </row>
    <row r="28" spans="1:19" ht="14.4" x14ac:dyDescent="0.3">
      <c r="B28" s="49" t="s">
        <v>97</v>
      </c>
      <c r="C28" s="49"/>
      <c r="D28" s="49"/>
      <c r="E28" s="21" t="s">
        <v>99</v>
      </c>
      <c r="F28" s="21"/>
      <c r="G28" s="21"/>
      <c r="H28" s="21"/>
      <c r="I28" s="21"/>
      <c r="J28" s="28">
        <f>COUNTBLANK(O28:O33)</f>
        <v>2</v>
      </c>
      <c r="K28" s="28"/>
      <c r="R28" s="38">
        <f>SUM(R24:R27)</f>
        <v>18</v>
      </c>
      <c r="S28">
        <f>SUMPRODUCT(P24:P27, Q24:Q27)</f>
        <v>18</v>
      </c>
    </row>
    <row r="29" spans="1:19" ht="14.4" x14ac:dyDescent="0.3">
      <c r="B29" s="49" t="s">
        <v>96</v>
      </c>
      <c r="C29" s="49"/>
      <c r="D29" s="49"/>
      <c r="E29" s="21"/>
      <c r="F29" s="21"/>
      <c r="G29" s="21"/>
      <c r="H29" s="21"/>
      <c r="I29" s="21"/>
      <c r="J29" s="28">
        <f xml:space="preserve"> COUNTIF(L5:L12, "&gt;70")</f>
        <v>4</v>
      </c>
      <c r="K29" s="28"/>
      <c r="P29" s="11" t="s">
        <v>34</v>
      </c>
      <c r="Q29" s="11" t="s">
        <v>35</v>
      </c>
    </row>
    <row r="30" spans="1:19" x14ac:dyDescent="0.25">
      <c r="B30" s="50" t="s">
        <v>98</v>
      </c>
      <c r="C30" s="50"/>
      <c r="D30" s="50"/>
      <c r="E30" s="21"/>
      <c r="F30" s="21"/>
      <c r="G30" s="21"/>
      <c r="H30" s="21"/>
      <c r="I30" s="21"/>
      <c r="J30" s="28">
        <f xml:space="preserve"> COUNTIFS(L5:L12, "&gt;70", N5:N12, "&gt;10")</f>
        <v>4</v>
      </c>
      <c r="K30" s="28"/>
      <c r="O30" s="41" t="s">
        <v>29</v>
      </c>
      <c r="P30">
        <v>120</v>
      </c>
      <c r="Q30" s="1">
        <v>5</v>
      </c>
      <c r="R30">
        <f>P30*Q30</f>
        <v>600</v>
      </c>
    </row>
    <row r="31" spans="1:19" ht="14.4" x14ac:dyDescent="0.3">
      <c r="B31" s="49" t="s">
        <v>103</v>
      </c>
      <c r="C31" s="49"/>
      <c r="D31" s="49"/>
      <c r="E31" s="21"/>
      <c r="F31" s="21"/>
      <c r="G31" s="21"/>
      <c r="H31" s="21"/>
      <c r="I31" s="21"/>
      <c r="J31" s="28">
        <f>MIN(N5:N12)</f>
        <v>10</v>
      </c>
      <c r="K31" s="28"/>
      <c r="O31" s="41" t="s">
        <v>30</v>
      </c>
      <c r="P31">
        <v>550</v>
      </c>
      <c r="Q31" s="1">
        <v>1</v>
      </c>
      <c r="R31">
        <f t="shared" ref="R31:R33" si="1">P31*Q31</f>
        <v>550</v>
      </c>
    </row>
    <row r="32" spans="1:19" ht="14.4" x14ac:dyDescent="0.3">
      <c r="B32" s="49" t="s">
        <v>104</v>
      </c>
      <c r="C32" s="49"/>
      <c r="D32" s="49"/>
      <c r="E32" s="21"/>
      <c r="F32" s="21"/>
      <c r="G32" s="21"/>
      <c r="H32" s="21"/>
      <c r="I32" s="21"/>
      <c r="J32" s="28">
        <f>MAX(N5:N12)</f>
        <v>45</v>
      </c>
      <c r="K32" s="28"/>
      <c r="O32" s="41" t="s">
        <v>31</v>
      </c>
      <c r="P32">
        <v>150</v>
      </c>
      <c r="Q32" s="1">
        <v>6</v>
      </c>
      <c r="R32">
        <f t="shared" si="1"/>
        <v>900</v>
      </c>
    </row>
    <row r="33" spans="2:18" x14ac:dyDescent="0.25">
      <c r="O33" s="41" t="s">
        <v>32</v>
      </c>
      <c r="P33">
        <v>100</v>
      </c>
      <c r="Q33" s="1">
        <v>2</v>
      </c>
      <c r="R33">
        <f t="shared" si="1"/>
        <v>200</v>
      </c>
    </row>
    <row r="34" spans="2:18" x14ac:dyDescent="0.25">
      <c r="E34" t="e">
        <v>#VALUE!</v>
      </c>
      <c r="F34" t="s">
        <v>105</v>
      </c>
      <c r="Q34" s="40" t="s">
        <v>86</v>
      </c>
      <c r="R34">
        <f>SUM(R30:R33)</f>
        <v>2250</v>
      </c>
    </row>
    <row r="35" spans="2:18" x14ac:dyDescent="0.25">
      <c r="E35" t="e">
        <v>#DIV/0!</v>
      </c>
      <c r="F35" t="s">
        <v>106</v>
      </c>
      <c r="J35" t="e">
        <f>AVERAGE(L35:L36)</f>
        <v>#DIV/0!</v>
      </c>
    </row>
    <row r="36" spans="2:18" x14ac:dyDescent="0.25">
      <c r="E36" t="e">
        <v>#REF!</v>
      </c>
      <c r="F36" t="s">
        <v>107</v>
      </c>
      <c r="P36" t="s">
        <v>87</v>
      </c>
      <c r="R36">
        <f>SUMPRODUCT(P30:P33,Q30:Q33)</f>
        <v>2250</v>
      </c>
    </row>
    <row r="41" spans="2:18" ht="14.4" thickBot="1" x14ac:dyDescent="0.3"/>
    <row r="42" spans="2:18" ht="14.4" thickBot="1" x14ac:dyDescent="0.3">
      <c r="B42" s="51" t="s">
        <v>94</v>
      </c>
      <c r="C42" s="52"/>
    </row>
    <row r="43" spans="2:18" x14ac:dyDescent="0.25">
      <c r="C43" t="s">
        <v>108</v>
      </c>
    </row>
    <row r="45" spans="2:18" ht="14.4" x14ac:dyDescent="0.3">
      <c r="C45" t="s">
        <v>110</v>
      </c>
      <c r="I45" s="45" t="s">
        <v>24</v>
      </c>
      <c r="J45" s="44" t="s">
        <v>63</v>
      </c>
      <c r="K45" s="44" t="s">
        <v>64</v>
      </c>
      <c r="L45" s="46" t="s">
        <v>71</v>
      </c>
      <c r="M45" s="46" t="s">
        <v>113</v>
      </c>
      <c r="N45" t="s">
        <v>114</v>
      </c>
    </row>
    <row r="46" spans="2:18" x14ac:dyDescent="0.25">
      <c r="I46" s="41" t="s">
        <v>56</v>
      </c>
      <c r="J46" s="43">
        <v>96</v>
      </c>
      <c r="K46" s="43">
        <v>95</v>
      </c>
      <c r="L46" s="42">
        <v>30</v>
      </c>
      <c r="N46" t="str" cm="1">
        <f t="array" ref="N46">_xlfn.IFS(K46 &gt; 90,"A", K46&gt;80, "B", K46&gt;70, "C",TRUE, "Needs Improvement" )</f>
        <v>A</v>
      </c>
    </row>
    <row r="47" spans="2:18" ht="14.4" x14ac:dyDescent="0.3">
      <c r="C47" t="s">
        <v>109</v>
      </c>
      <c r="D47" s="53" t="s">
        <v>111</v>
      </c>
      <c r="E47" s="53" t="s">
        <v>112</v>
      </c>
      <c r="I47" s="41" t="s">
        <v>57</v>
      </c>
      <c r="J47" s="43">
        <v>88</v>
      </c>
      <c r="K47" s="43">
        <v>92</v>
      </c>
      <c r="L47" s="42">
        <v>25</v>
      </c>
      <c r="N47" s="41" t="str" cm="1">
        <f t="array" ref="N47">_xlfn.IFS(K47 &gt; 90,"A", K47&gt;80, "B", K47&gt;70, "C",TRUE, "Needs Improvement" )</f>
        <v>A</v>
      </c>
    </row>
    <row r="48" spans="2:18" x14ac:dyDescent="0.25">
      <c r="D48" s="42">
        <v>18</v>
      </c>
      <c r="E48" s="42" t="str">
        <f>IF(D48 &gt;= 18, "Voter", "Non-Voter")</f>
        <v>Voter</v>
      </c>
      <c r="I48" s="41" t="s">
        <v>58</v>
      </c>
      <c r="J48" s="43">
        <v>62</v>
      </c>
      <c r="K48" s="43">
        <v>86</v>
      </c>
      <c r="L48" s="42">
        <v>30</v>
      </c>
      <c r="N48" s="41" t="str" cm="1">
        <f t="array" ref="N48">_xlfn.IFS(K48 &gt; 90,"A", K48&gt;80, "B", K48&gt;70, "C",TRUE, "Needs Improvement" )</f>
        <v>B</v>
      </c>
    </row>
    <row r="49" spans="3:14" x14ac:dyDescent="0.25">
      <c r="D49" s="42">
        <v>20</v>
      </c>
      <c r="E49" s="42" t="str">
        <f t="shared" ref="E49:E53" si="2">IF(D49 &gt;= 18, "Voter", "Non-Voter")</f>
        <v>Voter</v>
      </c>
      <c r="I49" s="41" t="s">
        <v>59</v>
      </c>
      <c r="J49" s="43">
        <v>43</v>
      </c>
      <c r="K49" s="43">
        <v>72</v>
      </c>
      <c r="L49" s="42">
        <v>45</v>
      </c>
      <c r="N49" s="41" t="str" cm="1">
        <f t="array" ref="N49">_xlfn.IFS(K49 &gt; 90,"A", K49&gt;80, "B", K49&gt;70, "C",TRUE, "Needs Improvement" )</f>
        <v>C</v>
      </c>
    </row>
    <row r="50" spans="3:14" x14ac:dyDescent="0.25">
      <c r="D50" s="42">
        <v>34</v>
      </c>
      <c r="E50" s="42" t="str">
        <f t="shared" si="2"/>
        <v>Voter</v>
      </c>
      <c r="I50" s="41" t="s">
        <v>60</v>
      </c>
      <c r="J50" s="43">
        <v>87</v>
      </c>
      <c r="K50" s="43">
        <v>88</v>
      </c>
      <c r="L50" s="42">
        <v>30</v>
      </c>
      <c r="N50" s="41" t="str" cm="1">
        <f t="array" ref="N50">_xlfn.IFS(K50 &gt; 90,"A", K50&gt;80, "B", K50&gt;70, "C",TRUE, "Needs Improvement" )</f>
        <v>B</v>
      </c>
    </row>
    <row r="51" spans="3:14" x14ac:dyDescent="0.25">
      <c r="D51" s="42">
        <v>6</v>
      </c>
      <c r="E51" s="42" t="str">
        <f t="shared" si="2"/>
        <v>Non-Voter</v>
      </c>
      <c r="I51" s="41" t="s">
        <v>61</v>
      </c>
      <c r="J51" s="43">
        <v>23</v>
      </c>
      <c r="K51" s="43">
        <v>34</v>
      </c>
      <c r="L51" s="42">
        <v>10</v>
      </c>
      <c r="N51" s="41" t="str" cm="1">
        <f t="array" ref="N51">_xlfn.IFS(K51 &gt; 90,"A", K51&gt;80, "B", K51&gt;70, "C",TRUE, "Needs Improvement" )</f>
        <v>Needs Improvement</v>
      </c>
    </row>
    <row r="52" spans="3:14" x14ac:dyDescent="0.25">
      <c r="D52" s="42">
        <v>10</v>
      </c>
      <c r="E52" s="42" t="str">
        <f t="shared" si="2"/>
        <v>Non-Voter</v>
      </c>
      <c r="I52" s="41" t="s">
        <v>62</v>
      </c>
      <c r="J52" s="43">
        <v>97</v>
      </c>
      <c r="K52" s="43">
        <v>41</v>
      </c>
      <c r="L52" s="42">
        <v>45</v>
      </c>
      <c r="N52" s="41" t="str" cm="1">
        <f t="array" ref="N52">_xlfn.IFS(K52 &gt; 90,"A", K52&gt;80, "B", K52&gt;70, "C",TRUE, "Needs Improvement" )</f>
        <v>Needs Improvement</v>
      </c>
    </row>
    <row r="53" spans="3:14" x14ac:dyDescent="0.25">
      <c r="D53" s="42">
        <v>55</v>
      </c>
      <c r="E53" s="42" t="str">
        <f t="shared" si="2"/>
        <v>Voter</v>
      </c>
      <c r="I53" s="41" t="s">
        <v>65</v>
      </c>
      <c r="J53" s="43">
        <v>42</v>
      </c>
      <c r="K53" s="43">
        <v>32</v>
      </c>
      <c r="L53" s="42">
        <v>20</v>
      </c>
      <c r="N53" s="41" t="str" cm="1">
        <f t="array" ref="N53">_xlfn.IFS(K53 &gt; 90,"A", K53&gt;80, "B", K53&gt;70, "C",TRUE, "Needs Improvement" )</f>
        <v>Needs Improvement</v>
      </c>
    </row>
    <row r="55" spans="3:14" x14ac:dyDescent="0.25">
      <c r="C55" t="s">
        <v>115</v>
      </c>
    </row>
    <row r="56" spans="3:14" x14ac:dyDescent="0.25">
      <c r="C56" s="54" t="s">
        <v>116</v>
      </c>
    </row>
  </sheetData>
  <mergeCells count="49">
    <mergeCell ref="B42:C42"/>
    <mergeCell ref="B26:D26"/>
    <mergeCell ref="E26:I26"/>
    <mergeCell ref="J26:K26"/>
    <mergeCell ref="E29:I29"/>
    <mergeCell ref="E30:I30"/>
    <mergeCell ref="E31:I31"/>
    <mergeCell ref="E32:I32"/>
    <mergeCell ref="J23:K23"/>
    <mergeCell ref="J24:K24"/>
    <mergeCell ref="J25:K25"/>
    <mergeCell ref="J27:K27"/>
    <mergeCell ref="J28:K28"/>
    <mergeCell ref="J29:K29"/>
    <mergeCell ref="J30:K30"/>
    <mergeCell ref="J31:K31"/>
    <mergeCell ref="J32:K32"/>
    <mergeCell ref="B31:D31"/>
    <mergeCell ref="B32:D32"/>
    <mergeCell ref="E23:I23"/>
    <mergeCell ref="E24:I24"/>
    <mergeCell ref="E25:I25"/>
    <mergeCell ref="E27:I27"/>
    <mergeCell ref="E28:I28"/>
    <mergeCell ref="B18:D18"/>
    <mergeCell ref="B19:D19"/>
    <mergeCell ref="B21:D21"/>
    <mergeCell ref="B22:D22"/>
    <mergeCell ref="B20:D20"/>
    <mergeCell ref="E20:I20"/>
    <mergeCell ref="B23:D23"/>
    <mergeCell ref="B24:D24"/>
    <mergeCell ref="B25:D25"/>
    <mergeCell ref="B27:D27"/>
    <mergeCell ref="B28:D28"/>
    <mergeCell ref="B29:D29"/>
    <mergeCell ref="B30:D30"/>
    <mergeCell ref="J21:K21"/>
    <mergeCell ref="J22:K22"/>
    <mergeCell ref="E21:I21"/>
    <mergeCell ref="E22:I22"/>
    <mergeCell ref="J20:K20"/>
    <mergeCell ref="B3:C3"/>
    <mergeCell ref="C10:E10"/>
    <mergeCell ref="B14:C14"/>
    <mergeCell ref="J19:K19"/>
    <mergeCell ref="J18:K18"/>
    <mergeCell ref="E18:I18"/>
    <mergeCell ref="E19:I19"/>
  </mergeCells>
  <pageMargins left="0.7" right="0.7" top="0.75" bottom="0.75" header="0.3" footer="0.3"/>
  <ignoredErrors>
    <ignoredError sqref="J35 F11:F12" evalError="1"/>
    <ignoredError sqref="J20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Basic</vt:lpstr>
      <vt:lpstr>Cell References</vt:lpstr>
      <vt:lpstr>Shortcuts</vt:lpstr>
      <vt:lpstr>Exercise</vt:lpstr>
      <vt:lpstr>Basic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Idrees</dc:creator>
  <cp:lastModifiedBy>M Idrees Bhat</cp:lastModifiedBy>
  <dcterms:created xsi:type="dcterms:W3CDTF">2015-06-05T18:17:20Z</dcterms:created>
  <dcterms:modified xsi:type="dcterms:W3CDTF">2026-09-06T07:28:14Z</dcterms:modified>
</cp:coreProperties>
</file>