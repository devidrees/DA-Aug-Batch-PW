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ink/ink1.xml" ContentType="application/inkml+xml"/>
  <Override PartName="/xl/ink/ink2.xml" ContentType="application/inkml+xml"/>
  <Override PartName="/xl/ink/ink3.xml" ContentType="application/inkml+xml"/>
  <Override PartName="/xl/ink/ink4.xml" ContentType="application/inkml+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devid\Desktop\PW\DA-Aug-Batch-PW\Excel\"/>
    </mc:Choice>
  </mc:AlternateContent>
  <xr:revisionPtr revIDLastSave="0" documentId="13_ncr:9_{3AD9CC5E-4FC3-40FD-BF3A-56F14ACF2D21}" xr6:coauthVersionLast="47" xr6:coauthVersionMax="47" xr10:uidLastSave="{00000000-0000-0000-0000-000000000000}"/>
  <bookViews>
    <workbookView xWindow="-108" yWindow="-108" windowWidth="23256" windowHeight="12456" xr2:uid="{00000000-000D-0000-FFFF-FFFF00000000}"/>
  </bookViews>
  <sheets>
    <sheet name="Dashboard" sheetId="6" r:id="rId1"/>
    <sheet name="Sheet3" sheetId="7" r:id="rId2"/>
    <sheet name="Pivot and Dashboard Lesson" sheetId="1" r:id="rId3"/>
    <sheet name="Pivot Tables" sheetId="3" r:id="rId4"/>
    <sheet name="Data Sheet" sheetId="2" r:id="rId5"/>
  </sheets>
  <definedNames>
    <definedName name="NativeTimeline_Dated">#N/A</definedName>
    <definedName name="Slicer_Category">#N/A</definedName>
    <definedName name="Slicer_Product">#N/A</definedName>
    <definedName name="Slicer_Region">#N/A</definedName>
  </definedNames>
  <calcPr calcId="191029"/>
  <pivotCaches>
    <pivotCache cacheId="10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2" l="1"/>
  <c r="G7" i="2"/>
  <c r="G8" i="2"/>
  <c r="G9" i="2"/>
  <c r="G10" i="2"/>
  <c r="G11" i="2"/>
  <c r="G12" i="2"/>
  <c r="G13" i="2"/>
  <c r="G14" i="2"/>
  <c r="G5" i="2"/>
  <c r="F37" i="3"/>
  <c r="D37" i="3"/>
  <c r="B37" i="3"/>
</calcChain>
</file>

<file path=xl/sharedStrings.xml><?xml version="1.0" encoding="utf-8"?>
<sst xmlns="http://schemas.openxmlformats.org/spreadsheetml/2006/main" count="139" uniqueCount="56">
  <si>
    <t>Product</t>
  </si>
  <si>
    <t>Category</t>
  </si>
  <si>
    <t>Price</t>
  </si>
  <si>
    <t>Units sold</t>
  </si>
  <si>
    <t>Region</t>
  </si>
  <si>
    <t>Revenue</t>
  </si>
  <si>
    <t>Dated</t>
  </si>
  <si>
    <t>Laptop</t>
  </si>
  <si>
    <t>Electronics</t>
  </si>
  <si>
    <t>North</t>
  </si>
  <si>
    <t>Tablet</t>
  </si>
  <si>
    <t>South</t>
  </si>
  <si>
    <t>Smartphone</t>
  </si>
  <si>
    <t>East</t>
  </si>
  <si>
    <t>Desktop</t>
  </si>
  <si>
    <t>West</t>
  </si>
  <si>
    <t>Monitor</t>
  </si>
  <si>
    <t>Accessories</t>
  </si>
  <si>
    <t>Keyboard</t>
  </si>
  <si>
    <t>Mouse</t>
  </si>
  <si>
    <t>Printer</t>
  </si>
  <si>
    <t>Scanner</t>
  </si>
  <si>
    <t>Camera</t>
  </si>
  <si>
    <t>Dataset</t>
  </si>
  <si>
    <t>Pivot Tables</t>
  </si>
  <si>
    <t>Pivot table is a summzaring tool that takes massive, messy data, and groups it together meaningfully</t>
  </si>
  <si>
    <t>You have multiple products being sold</t>
  </si>
  <si>
    <t>How many units did we sell in each region?</t>
  </si>
  <si>
    <t>Row Labels</t>
  </si>
  <si>
    <t>Grand Total</t>
  </si>
  <si>
    <t>Sum of Units sold</t>
  </si>
  <si>
    <t>Sum of Revenue</t>
  </si>
  <si>
    <t>Units Sold per Region</t>
  </si>
  <si>
    <t>KPIs</t>
  </si>
  <si>
    <t>May</t>
  </si>
  <si>
    <t>Feb</t>
  </si>
  <si>
    <t>Mar</t>
  </si>
  <si>
    <t>Apr</t>
  </si>
  <si>
    <t>Oct</t>
  </si>
  <si>
    <t>Dec</t>
  </si>
  <si>
    <t>Count of Product</t>
  </si>
  <si>
    <t xml:space="preserve">Aggregation: </t>
  </si>
  <si>
    <t>Take a category, and combine/aggregat the numerical column accordingly</t>
  </si>
  <si>
    <t>KPI:</t>
  </si>
  <si>
    <t>Key Performance Indicators are calculations that sum up some information</t>
  </si>
  <si>
    <t>Sales</t>
  </si>
  <si>
    <t>Orders</t>
  </si>
  <si>
    <t>Dashboard: It is a single page with all the information we need</t>
  </si>
  <si>
    <t>Contain visualization for ease of understanding</t>
  </si>
  <si>
    <t>Tips:</t>
  </si>
  <si>
    <t>1. always keep a blueprint in mind</t>
  </si>
  <si>
    <t>2. When choosing colors, prefer monochome colors</t>
  </si>
  <si>
    <t>Color shades made from the same color</t>
  </si>
  <si>
    <t>blue monochome scale</t>
  </si>
  <si>
    <t>sales</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</si>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</sst>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Rockwell"/>
      <family val="2"/>
      <scheme val="minor"/>
    </font>
    <font>
      <b/>
      <sz val="11"/>
      <color theme="1"/>
      <name val="Rockwell"/>
      <family val="1"/>
      <scheme val="minor"/>
    </font>
    <font>
      <b/>
      <sz val="18"/>
      <color theme="1"/>
      <name val="Rockwell"/>
      <family val="2"/>
      <scheme val="minor"/>
    </font>
    <font>
      <i/>
      <sz val="11"/>
      <color theme="1"/>
      <name val="Rockwell"/>
      <family val="1"/>
      <scheme val="minor"/>
    </font>
  </fonts>
  <fills count="7">
    <fill>
      <patternFill patternType="none"/>
    </fill>
    <fill>
      <patternFill patternType="gray125"/>
    </fill>
    <fill>
      <patternFill patternType="solid">
        <fgColor theme="8"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14" fontId="0" fillId="0" borderId="5" xfId="0" applyNumberFormat="1" applyBorder="1"/>
    <xf numFmtId="0" fontId="0" fillId="0" borderId="6" xfId="0" applyBorder="1" applyAlignment="1">
      <alignment horizontal="center" vertical="center"/>
    </xf>
    <xf numFmtId="0" fontId="0" fillId="0" borderId="7" xfId="0" applyBorder="1" applyAlignment="1">
      <alignment horizontal="center" vertical="center"/>
    </xf>
    <xf numFmtId="14" fontId="0" fillId="0" borderId="8" xfId="0" applyNumberFormat="1" applyBorder="1"/>
    <xf numFmtId="0" fontId="0" fillId="0" borderId="0" xfId="0" applyAlignment="1">
      <alignment horizontal="center"/>
    </xf>
    <xf numFmtId="0" fontId="0" fillId="0" borderId="0" xfId="0" applyFill="1" applyBorder="1" applyAlignment="1">
      <alignment horizontal="left" vertical="center"/>
    </xf>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alignment horizontal="center"/>
    </xf>
    <xf numFmtId="0" fontId="2" fillId="2" borderId="0" xfId="0" applyFont="1" applyFill="1" applyAlignment="1">
      <alignment horizontal="center" vertical="center"/>
    </xf>
    <xf numFmtId="0" fontId="0" fillId="0" borderId="0" xfId="0" applyBorder="1" applyAlignment="1">
      <alignment horizontal="center" vertical="center"/>
    </xf>
    <xf numFmtId="0" fontId="0" fillId="0" borderId="0" xfId="0" applyNumberFormat="1" applyAlignment="1">
      <alignment horizontal="center"/>
    </xf>
    <xf numFmtId="0" fontId="0" fillId="0" borderId="0" xfId="0" applyBorder="1"/>
    <xf numFmtId="0" fontId="0" fillId="3" borderId="0" xfId="0" applyFill="1"/>
    <xf numFmtId="0" fontId="0" fillId="4" borderId="0" xfId="0" applyFill="1"/>
    <xf numFmtId="0" fontId="0" fillId="5" borderId="0" xfId="0" applyFill="1"/>
    <xf numFmtId="0" fontId="0" fillId="2" borderId="0" xfId="0" applyFill="1"/>
    <xf numFmtId="0" fontId="0" fillId="6" borderId="0" xfId="0" applyFill="1"/>
    <xf numFmtId="0" fontId="0" fillId="0" borderId="0" xfId="0" applyAlignment="1">
      <alignment horizontal="right"/>
    </xf>
  </cellXfs>
  <cellStyles count="1">
    <cellStyle name="Normal" xfId="0" builtinId="0"/>
  </cellStyles>
  <dxfs count="18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f>
              <c:strCache>
                <c:ptCount val="1"/>
                <c:pt idx="0">
                  <c:v>Total</c:v>
                </c:pt>
              </c:strCache>
            </c:strRef>
          </c:tx>
          <c:spPr>
            <a:solidFill>
              <a:schemeClr val="accent4">
                <a:lumMod val="50000"/>
              </a:schemeClr>
            </a:solidFill>
            <a:ln>
              <a:noFill/>
            </a:ln>
            <a:effectLst/>
          </c:spPr>
          <c:invertIfNegative val="0"/>
          <c:cat>
            <c:strRef>
              <c:f>'Pivot Tables'!$B$9:$B$13</c:f>
              <c:strCache>
                <c:ptCount val="4"/>
                <c:pt idx="0">
                  <c:v>East</c:v>
                </c:pt>
                <c:pt idx="1">
                  <c:v>North</c:v>
                </c:pt>
                <c:pt idx="2">
                  <c:v>South</c:v>
                </c:pt>
                <c:pt idx="3">
                  <c:v>West</c:v>
                </c:pt>
              </c:strCache>
            </c:strRef>
          </c:cat>
          <c:val>
            <c:numRef>
              <c:f>'Pivot Tables'!$C$9:$C$13</c:f>
              <c:numCache>
                <c:formatCode>General</c:formatCode>
                <c:ptCount val="4"/>
                <c:pt idx="0">
                  <c:v>1000</c:v>
                </c:pt>
                <c:pt idx="1">
                  <c:v>640</c:v>
                </c:pt>
                <c:pt idx="2">
                  <c:v>830</c:v>
                </c:pt>
                <c:pt idx="3">
                  <c:v>150</c:v>
                </c:pt>
              </c:numCache>
            </c:numRef>
          </c:val>
          <c:extLst>
            <c:ext xmlns:c16="http://schemas.microsoft.com/office/drawing/2014/chart" uri="{C3380CC4-5D6E-409C-BE32-E72D297353CC}">
              <c16:uniqueId val="{00000000-5315-4937-9C57-728819B5D759}"/>
            </c:ext>
          </c:extLst>
        </c:ser>
        <c:dLbls>
          <c:showLegendKey val="0"/>
          <c:showVal val="0"/>
          <c:showCatName val="0"/>
          <c:showSerName val="0"/>
          <c:showPercent val="0"/>
          <c:showBubbleSize val="0"/>
        </c:dLbls>
        <c:gapWidth val="219"/>
        <c:overlap val="-27"/>
        <c:axId val="204366048"/>
        <c:axId val="204367008"/>
      </c:barChart>
      <c:catAx>
        <c:axId val="2043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7008"/>
        <c:crosses val="autoZero"/>
        <c:auto val="1"/>
        <c:lblAlgn val="ctr"/>
        <c:lblOffset val="100"/>
        <c:noMultiLvlLbl val="0"/>
      </c:catAx>
      <c:valAx>
        <c:axId val="20436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Tables'!$F$8</c:f>
              <c:strCache>
                <c:ptCount val="1"/>
                <c:pt idx="0">
                  <c:v>Total</c:v>
                </c:pt>
              </c:strCache>
            </c:strRef>
          </c:tx>
          <c:spPr>
            <a:ln w="28575" cap="rnd">
              <a:solidFill>
                <a:schemeClr val="accent4">
                  <a:lumMod val="50000"/>
                </a:schemeClr>
              </a:solidFill>
              <a:round/>
            </a:ln>
            <a:effectLst/>
          </c:spPr>
          <c:marker>
            <c:symbol val="none"/>
          </c:marker>
          <c:cat>
            <c:strRef>
              <c:f>'Pivot Tables'!$E$9:$E$15</c:f>
              <c:strCache>
                <c:ptCount val="6"/>
                <c:pt idx="0">
                  <c:v>Feb</c:v>
                </c:pt>
                <c:pt idx="1">
                  <c:v>Mar</c:v>
                </c:pt>
                <c:pt idx="2">
                  <c:v>Apr</c:v>
                </c:pt>
                <c:pt idx="3">
                  <c:v>May</c:v>
                </c:pt>
                <c:pt idx="4">
                  <c:v>Oct</c:v>
                </c:pt>
                <c:pt idx="5">
                  <c:v>Dec</c:v>
                </c:pt>
              </c:strCache>
            </c:strRef>
          </c:cat>
          <c:val>
            <c:numRef>
              <c:f>'Pivot Tables'!$F$9:$F$15</c:f>
              <c:numCache>
                <c:formatCode>General</c:formatCode>
                <c:ptCount val="6"/>
                <c:pt idx="0">
                  <c:v>80</c:v>
                </c:pt>
                <c:pt idx="1">
                  <c:v>40</c:v>
                </c:pt>
                <c:pt idx="2">
                  <c:v>600</c:v>
                </c:pt>
                <c:pt idx="3">
                  <c:v>1200</c:v>
                </c:pt>
                <c:pt idx="4">
                  <c:v>300</c:v>
                </c:pt>
                <c:pt idx="5">
                  <c:v>400</c:v>
                </c:pt>
              </c:numCache>
            </c:numRef>
          </c:val>
          <c:smooth val="0"/>
          <c:extLst>
            <c:ext xmlns:c16="http://schemas.microsoft.com/office/drawing/2014/chart" uri="{C3380CC4-5D6E-409C-BE32-E72D297353CC}">
              <c16:uniqueId val="{00000000-DAD9-4C89-B357-07627533F18A}"/>
            </c:ext>
          </c:extLst>
        </c:ser>
        <c:dLbls>
          <c:showLegendKey val="0"/>
          <c:showVal val="0"/>
          <c:showCatName val="0"/>
          <c:showSerName val="0"/>
          <c:showPercent val="0"/>
          <c:showBubbleSize val="0"/>
        </c:dLbls>
        <c:smooth val="0"/>
        <c:axId val="208963184"/>
        <c:axId val="208963664"/>
      </c:lineChart>
      <c:catAx>
        <c:axId val="2089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664"/>
        <c:crosses val="autoZero"/>
        <c:auto val="1"/>
        <c:lblAlgn val="ctr"/>
        <c:lblOffset val="100"/>
        <c:noMultiLvlLbl val="0"/>
      </c:catAx>
      <c:valAx>
        <c:axId val="2089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w="19050">
            <a:solidFill>
              <a:schemeClr val="lt1"/>
            </a:solidFill>
          </a:ln>
          <a:effectLst/>
        </c:spPr>
      </c:pivotFmt>
      <c:pivotFmt>
        <c:idx val="6"/>
        <c:spPr>
          <a:solidFill>
            <a:schemeClr val="accent4">
              <a:lumMod val="75000"/>
            </a:schemeClr>
          </a:solidFill>
          <a:ln w="19050">
            <a:solidFill>
              <a:schemeClr val="lt1"/>
            </a:solidFill>
          </a:ln>
          <a:effectLst/>
        </c:spPr>
      </c:pivotFmt>
    </c:pivotFmts>
    <c:plotArea>
      <c:layout/>
      <c:pieChart>
        <c:varyColors val="1"/>
        <c:ser>
          <c:idx val="0"/>
          <c:order val="0"/>
          <c:tx>
            <c:strRef>
              <c:f>'Pivot Tables'!$I$8</c:f>
              <c:strCache>
                <c:ptCount val="1"/>
                <c:pt idx="0">
                  <c:v>Total</c:v>
                </c:pt>
              </c:strCache>
            </c:strRef>
          </c:tx>
          <c:spPr>
            <a:solidFill>
              <a:schemeClr val="accent4">
                <a:lumMod val="50000"/>
              </a:schemeClr>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3094-4804-9D8E-9252AA308E0C}"/>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3094-4804-9D8E-9252AA308E0C}"/>
              </c:ext>
            </c:extLst>
          </c:dPt>
          <c:cat>
            <c:strRef>
              <c:f>'Pivot Tables'!$H$9:$H$11</c:f>
              <c:strCache>
                <c:ptCount val="2"/>
                <c:pt idx="0">
                  <c:v>Accessories</c:v>
                </c:pt>
                <c:pt idx="1">
                  <c:v>Electronics</c:v>
                </c:pt>
              </c:strCache>
            </c:strRef>
          </c:cat>
          <c:val>
            <c:numRef>
              <c:f>'Pivot Tables'!$I$9:$I$11</c:f>
              <c:numCache>
                <c:formatCode>General</c:formatCode>
                <c:ptCount val="2"/>
                <c:pt idx="0">
                  <c:v>164000</c:v>
                </c:pt>
                <c:pt idx="1">
                  <c:v>682500</c:v>
                </c:pt>
              </c:numCache>
            </c:numRef>
          </c:val>
          <c:extLst>
            <c:ext xmlns:c16="http://schemas.microsoft.com/office/drawing/2014/chart" uri="{C3380CC4-5D6E-409C-BE32-E72D297353CC}">
              <c16:uniqueId val="{00000004-3094-4804-9D8E-9252AA308E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64436612299745"/>
          <c:y val="8.4989006790603394E-2"/>
          <c:w val="0.84537351856365406"/>
          <c:h val="0.5283201378318495"/>
        </c:manualLayout>
      </c:layout>
      <c:barChart>
        <c:barDir val="col"/>
        <c:grouping val="stacked"/>
        <c:varyColors val="0"/>
        <c:ser>
          <c:idx val="0"/>
          <c:order val="0"/>
          <c:tx>
            <c:strRef>
              <c:f>'Pivot Tables'!$I$18</c:f>
              <c:strCache>
                <c:ptCount val="1"/>
                <c:pt idx="0">
                  <c:v>Sum of Units sold</c:v>
                </c:pt>
              </c:strCache>
            </c:strRef>
          </c:tx>
          <c:spPr>
            <a:solidFill>
              <a:schemeClr val="accent1"/>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Tables'!$I$19:$I$29</c:f>
              <c:numCache>
                <c:formatCode>General</c:formatCode>
                <c:ptCount val="10"/>
                <c:pt idx="0">
                  <c:v>80</c:v>
                </c:pt>
                <c:pt idx="1">
                  <c:v>100</c:v>
                </c:pt>
                <c:pt idx="2">
                  <c:v>600</c:v>
                </c:pt>
                <c:pt idx="3">
                  <c:v>200</c:v>
                </c:pt>
                <c:pt idx="4">
                  <c:v>400</c:v>
                </c:pt>
                <c:pt idx="5">
                  <c:v>700</c:v>
                </c:pt>
                <c:pt idx="6">
                  <c:v>50</c:v>
                </c:pt>
                <c:pt idx="7">
                  <c:v>40</c:v>
                </c:pt>
                <c:pt idx="8">
                  <c:v>300</c:v>
                </c:pt>
                <c:pt idx="9">
                  <c:v>150</c:v>
                </c:pt>
              </c:numCache>
            </c:numRef>
          </c:val>
          <c:extLst>
            <c:ext xmlns:c16="http://schemas.microsoft.com/office/drawing/2014/chart" uri="{C3380CC4-5D6E-409C-BE32-E72D297353CC}">
              <c16:uniqueId val="{00000000-5FD8-4133-8F9A-8F7D5DF5BE2F}"/>
            </c:ext>
          </c:extLst>
        </c:ser>
        <c:ser>
          <c:idx val="1"/>
          <c:order val="1"/>
          <c:tx>
            <c:strRef>
              <c:f>'Pivot Tables'!$J$18</c:f>
              <c:strCache>
                <c:ptCount val="1"/>
                <c:pt idx="0">
                  <c:v>Sum of Revenue</c:v>
                </c:pt>
              </c:strCache>
            </c:strRef>
          </c:tx>
          <c:spPr>
            <a:solidFill>
              <a:schemeClr val="accent4">
                <a:lumMod val="50000"/>
              </a:schemeClr>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Tables'!$J$19:$J$29</c:f>
              <c:numCache>
                <c:formatCode>General</c:formatCode>
                <c:ptCount val="10"/>
                <c:pt idx="0">
                  <c:v>32000</c:v>
                </c:pt>
                <c:pt idx="1">
                  <c:v>120000</c:v>
                </c:pt>
                <c:pt idx="2">
                  <c:v>30000</c:v>
                </c:pt>
                <c:pt idx="3">
                  <c:v>200000</c:v>
                </c:pt>
                <c:pt idx="4">
                  <c:v>120000</c:v>
                </c:pt>
                <c:pt idx="5">
                  <c:v>14000</c:v>
                </c:pt>
                <c:pt idx="6">
                  <c:v>7500</c:v>
                </c:pt>
                <c:pt idx="7">
                  <c:v>8000</c:v>
                </c:pt>
                <c:pt idx="8">
                  <c:v>240000</c:v>
                </c:pt>
                <c:pt idx="9">
                  <c:v>75000</c:v>
                </c:pt>
              </c:numCache>
            </c:numRef>
          </c:val>
          <c:extLst>
            <c:ext xmlns:c16="http://schemas.microsoft.com/office/drawing/2014/chart" uri="{C3380CC4-5D6E-409C-BE32-E72D297353CC}">
              <c16:uniqueId val="{00000001-5FD8-4133-8F9A-8F7D5DF5BE2F}"/>
            </c:ext>
          </c:extLst>
        </c:ser>
        <c:dLbls>
          <c:showLegendKey val="0"/>
          <c:showVal val="0"/>
          <c:showCatName val="0"/>
          <c:showSerName val="0"/>
          <c:showPercent val="0"/>
          <c:showBubbleSize val="0"/>
        </c:dLbls>
        <c:gapWidth val="150"/>
        <c:overlap val="100"/>
        <c:axId val="767914240"/>
        <c:axId val="767914720"/>
      </c:barChart>
      <c:catAx>
        <c:axId val="7679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720"/>
        <c:crosses val="autoZero"/>
        <c:auto val="1"/>
        <c:lblAlgn val="ctr"/>
        <c:lblOffset val="100"/>
        <c:noMultiLvlLbl val="0"/>
      </c:catAx>
      <c:valAx>
        <c:axId val="76791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f>
              <c:strCache>
                <c:ptCount val="1"/>
                <c:pt idx="0">
                  <c:v>Total</c:v>
                </c:pt>
              </c:strCache>
            </c:strRef>
          </c:tx>
          <c:spPr>
            <a:solidFill>
              <a:schemeClr val="accent1"/>
            </a:solidFill>
            <a:ln>
              <a:noFill/>
            </a:ln>
            <a:effectLst/>
          </c:spPr>
          <c:invertIfNegative val="0"/>
          <c:cat>
            <c:strRef>
              <c:f>'Pivot Tables'!$B$9:$B$13</c:f>
              <c:strCache>
                <c:ptCount val="4"/>
                <c:pt idx="0">
                  <c:v>East</c:v>
                </c:pt>
                <c:pt idx="1">
                  <c:v>North</c:v>
                </c:pt>
                <c:pt idx="2">
                  <c:v>South</c:v>
                </c:pt>
                <c:pt idx="3">
                  <c:v>West</c:v>
                </c:pt>
              </c:strCache>
            </c:strRef>
          </c:cat>
          <c:val>
            <c:numRef>
              <c:f>'Pivot Tables'!$C$9:$C$13</c:f>
              <c:numCache>
                <c:formatCode>General</c:formatCode>
                <c:ptCount val="4"/>
                <c:pt idx="0">
                  <c:v>1000</c:v>
                </c:pt>
                <c:pt idx="1">
                  <c:v>640</c:v>
                </c:pt>
                <c:pt idx="2">
                  <c:v>830</c:v>
                </c:pt>
                <c:pt idx="3">
                  <c:v>150</c:v>
                </c:pt>
              </c:numCache>
            </c:numRef>
          </c:val>
          <c:extLst>
            <c:ext xmlns:c16="http://schemas.microsoft.com/office/drawing/2014/chart" uri="{C3380CC4-5D6E-409C-BE32-E72D297353CC}">
              <c16:uniqueId val="{00000000-3B68-46D5-9867-11E90DF828B2}"/>
            </c:ext>
          </c:extLst>
        </c:ser>
        <c:dLbls>
          <c:showLegendKey val="0"/>
          <c:showVal val="0"/>
          <c:showCatName val="0"/>
          <c:showSerName val="0"/>
          <c:showPercent val="0"/>
          <c:showBubbleSize val="0"/>
        </c:dLbls>
        <c:gapWidth val="219"/>
        <c:overlap val="-27"/>
        <c:axId val="204366048"/>
        <c:axId val="204367008"/>
      </c:barChart>
      <c:catAx>
        <c:axId val="2043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7008"/>
        <c:crosses val="autoZero"/>
        <c:auto val="1"/>
        <c:lblAlgn val="ctr"/>
        <c:lblOffset val="100"/>
        <c:noMultiLvlLbl val="0"/>
      </c:catAx>
      <c:valAx>
        <c:axId val="204367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Tables'!$F$8</c:f>
              <c:strCache>
                <c:ptCount val="1"/>
                <c:pt idx="0">
                  <c:v>Total</c:v>
                </c:pt>
              </c:strCache>
            </c:strRef>
          </c:tx>
          <c:spPr>
            <a:ln w="28575" cap="rnd">
              <a:solidFill>
                <a:schemeClr val="accent1"/>
              </a:solidFill>
              <a:round/>
            </a:ln>
            <a:effectLst/>
          </c:spPr>
          <c:marker>
            <c:symbol val="none"/>
          </c:marker>
          <c:cat>
            <c:strRef>
              <c:f>'Pivot Tables'!$E$9:$E$15</c:f>
              <c:strCache>
                <c:ptCount val="6"/>
                <c:pt idx="0">
                  <c:v>Feb</c:v>
                </c:pt>
                <c:pt idx="1">
                  <c:v>Mar</c:v>
                </c:pt>
                <c:pt idx="2">
                  <c:v>Apr</c:v>
                </c:pt>
                <c:pt idx="3">
                  <c:v>May</c:v>
                </c:pt>
                <c:pt idx="4">
                  <c:v>Oct</c:v>
                </c:pt>
                <c:pt idx="5">
                  <c:v>Dec</c:v>
                </c:pt>
              </c:strCache>
            </c:strRef>
          </c:cat>
          <c:val>
            <c:numRef>
              <c:f>'Pivot Tables'!$F$9:$F$15</c:f>
              <c:numCache>
                <c:formatCode>General</c:formatCode>
                <c:ptCount val="6"/>
                <c:pt idx="0">
                  <c:v>80</c:v>
                </c:pt>
                <c:pt idx="1">
                  <c:v>40</c:v>
                </c:pt>
                <c:pt idx="2">
                  <c:v>600</c:v>
                </c:pt>
                <c:pt idx="3">
                  <c:v>1200</c:v>
                </c:pt>
                <c:pt idx="4">
                  <c:v>300</c:v>
                </c:pt>
                <c:pt idx="5">
                  <c:v>400</c:v>
                </c:pt>
              </c:numCache>
            </c:numRef>
          </c:val>
          <c:smooth val="0"/>
          <c:extLst>
            <c:ext xmlns:c16="http://schemas.microsoft.com/office/drawing/2014/chart" uri="{C3380CC4-5D6E-409C-BE32-E72D297353CC}">
              <c16:uniqueId val="{00000000-47BE-4973-9596-B5D32CCCBEF7}"/>
            </c:ext>
          </c:extLst>
        </c:ser>
        <c:dLbls>
          <c:showLegendKey val="0"/>
          <c:showVal val="0"/>
          <c:showCatName val="0"/>
          <c:showSerName val="0"/>
          <c:showPercent val="0"/>
          <c:showBubbleSize val="0"/>
        </c:dLbls>
        <c:smooth val="0"/>
        <c:axId val="208963184"/>
        <c:axId val="208963664"/>
      </c:lineChart>
      <c:catAx>
        <c:axId val="20896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664"/>
        <c:crosses val="autoZero"/>
        <c:auto val="1"/>
        <c:lblAlgn val="ctr"/>
        <c:lblOffset val="100"/>
        <c:noMultiLvlLbl val="0"/>
      </c:catAx>
      <c:valAx>
        <c:axId val="20896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6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Tables'!$I$8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Tables'!$H$9:$H$11</c:f>
              <c:strCache>
                <c:ptCount val="2"/>
                <c:pt idx="0">
                  <c:v>Accessories</c:v>
                </c:pt>
                <c:pt idx="1">
                  <c:v>Electronics</c:v>
                </c:pt>
              </c:strCache>
            </c:strRef>
          </c:cat>
          <c:val>
            <c:numRef>
              <c:f>'Pivot Tables'!$I$9:$I$11</c:f>
              <c:numCache>
                <c:formatCode>General</c:formatCode>
                <c:ptCount val="2"/>
                <c:pt idx="0">
                  <c:v>164000</c:v>
                </c:pt>
                <c:pt idx="1">
                  <c:v>682500</c:v>
                </c:pt>
              </c:numCache>
            </c:numRef>
          </c:val>
          <c:extLst>
            <c:ext xmlns:c16="http://schemas.microsoft.com/office/drawing/2014/chart" uri="{C3380CC4-5D6E-409C-BE32-E72D297353CC}">
              <c16:uniqueId val="{00000000-D75F-44E1-99DB-D3E9AE7520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Class 2 - pivot Dashboards.xlsx]Pivot Tables!PivotTable4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Tables'!$I$18</c:f>
              <c:strCache>
                <c:ptCount val="1"/>
                <c:pt idx="0">
                  <c:v>Sum of Units sold</c:v>
                </c:pt>
              </c:strCache>
            </c:strRef>
          </c:tx>
          <c:spPr>
            <a:solidFill>
              <a:schemeClr val="accent1"/>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Tables'!$I$19:$I$29</c:f>
              <c:numCache>
                <c:formatCode>General</c:formatCode>
                <c:ptCount val="10"/>
                <c:pt idx="0">
                  <c:v>80</c:v>
                </c:pt>
                <c:pt idx="1">
                  <c:v>100</c:v>
                </c:pt>
                <c:pt idx="2">
                  <c:v>600</c:v>
                </c:pt>
                <c:pt idx="3">
                  <c:v>200</c:v>
                </c:pt>
                <c:pt idx="4">
                  <c:v>400</c:v>
                </c:pt>
                <c:pt idx="5">
                  <c:v>700</c:v>
                </c:pt>
                <c:pt idx="6">
                  <c:v>50</c:v>
                </c:pt>
                <c:pt idx="7">
                  <c:v>40</c:v>
                </c:pt>
                <c:pt idx="8">
                  <c:v>300</c:v>
                </c:pt>
                <c:pt idx="9">
                  <c:v>150</c:v>
                </c:pt>
              </c:numCache>
            </c:numRef>
          </c:val>
          <c:extLst>
            <c:ext xmlns:c16="http://schemas.microsoft.com/office/drawing/2014/chart" uri="{C3380CC4-5D6E-409C-BE32-E72D297353CC}">
              <c16:uniqueId val="{00000000-5A67-480F-BE6E-C1AA1B9F28F1}"/>
            </c:ext>
          </c:extLst>
        </c:ser>
        <c:ser>
          <c:idx val="1"/>
          <c:order val="1"/>
          <c:tx>
            <c:strRef>
              <c:f>'Pivot Tables'!$J$18</c:f>
              <c:strCache>
                <c:ptCount val="1"/>
                <c:pt idx="0">
                  <c:v>Sum of Revenue</c:v>
                </c:pt>
              </c:strCache>
            </c:strRef>
          </c:tx>
          <c:spPr>
            <a:solidFill>
              <a:schemeClr val="accent2"/>
            </a:solidFill>
            <a:ln>
              <a:noFill/>
            </a:ln>
            <a:effectLst/>
          </c:spPr>
          <c:invertIfNegative val="0"/>
          <c:cat>
            <c:strRef>
              <c:f>'Pivot Tables'!$H$19:$H$29</c:f>
              <c:strCache>
                <c:ptCount val="10"/>
                <c:pt idx="0">
                  <c:v>Camera</c:v>
                </c:pt>
                <c:pt idx="1">
                  <c:v>Desktop</c:v>
                </c:pt>
                <c:pt idx="2">
                  <c:v>Keyboard</c:v>
                </c:pt>
                <c:pt idx="3">
                  <c:v>Laptop</c:v>
                </c:pt>
                <c:pt idx="4">
                  <c:v>Monitor</c:v>
                </c:pt>
                <c:pt idx="5">
                  <c:v>Mouse</c:v>
                </c:pt>
                <c:pt idx="6">
                  <c:v>Printer</c:v>
                </c:pt>
                <c:pt idx="7">
                  <c:v>Scanner</c:v>
                </c:pt>
                <c:pt idx="8">
                  <c:v>Smartphone</c:v>
                </c:pt>
                <c:pt idx="9">
                  <c:v>Tablet</c:v>
                </c:pt>
              </c:strCache>
            </c:strRef>
          </c:cat>
          <c:val>
            <c:numRef>
              <c:f>'Pivot Tables'!$J$19:$J$29</c:f>
              <c:numCache>
                <c:formatCode>General</c:formatCode>
                <c:ptCount val="10"/>
                <c:pt idx="0">
                  <c:v>32000</c:v>
                </c:pt>
                <c:pt idx="1">
                  <c:v>120000</c:v>
                </c:pt>
                <c:pt idx="2">
                  <c:v>30000</c:v>
                </c:pt>
                <c:pt idx="3">
                  <c:v>200000</c:v>
                </c:pt>
                <c:pt idx="4">
                  <c:v>120000</c:v>
                </c:pt>
                <c:pt idx="5">
                  <c:v>14000</c:v>
                </c:pt>
                <c:pt idx="6">
                  <c:v>7500</c:v>
                </c:pt>
                <c:pt idx="7">
                  <c:v>8000</c:v>
                </c:pt>
                <c:pt idx="8">
                  <c:v>240000</c:v>
                </c:pt>
                <c:pt idx="9">
                  <c:v>75000</c:v>
                </c:pt>
              </c:numCache>
            </c:numRef>
          </c:val>
          <c:extLst>
            <c:ext xmlns:c16="http://schemas.microsoft.com/office/drawing/2014/chart" uri="{C3380CC4-5D6E-409C-BE32-E72D297353CC}">
              <c16:uniqueId val="{00000001-5A67-480F-BE6E-C1AA1B9F28F1}"/>
            </c:ext>
          </c:extLst>
        </c:ser>
        <c:dLbls>
          <c:showLegendKey val="0"/>
          <c:showVal val="0"/>
          <c:showCatName val="0"/>
          <c:showSerName val="0"/>
          <c:showPercent val="0"/>
          <c:showBubbleSize val="0"/>
        </c:dLbls>
        <c:gapWidth val="150"/>
        <c:overlap val="100"/>
        <c:axId val="767914240"/>
        <c:axId val="767914720"/>
      </c:barChart>
      <c:catAx>
        <c:axId val="7679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720"/>
        <c:crosses val="autoZero"/>
        <c:auto val="1"/>
        <c:lblAlgn val="ctr"/>
        <c:lblOffset val="100"/>
        <c:noMultiLvlLbl val="0"/>
      </c:catAx>
      <c:valAx>
        <c:axId val="76791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91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ustomXml" Target="../ink/ink2.xml"/><Relationship Id="rId7"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2.png"/><Relationship Id="rId5" Type="http://schemas.openxmlformats.org/officeDocument/2006/relationships/customXml" Target="../ink/ink4.xml"/><Relationship Id="rId10" Type="http://schemas.openxmlformats.org/officeDocument/2006/relationships/chart" Target="../charts/chart8.xml"/><Relationship Id="rId4" Type="http://schemas.openxmlformats.org/officeDocument/2006/relationships/customXml" Target="../ink/ink3.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320039</xdr:colOff>
      <xdr:row>38</xdr:row>
      <xdr:rowOff>57654</xdr:rowOff>
    </xdr:to>
    <xdr:grpSp>
      <xdr:nvGrpSpPr>
        <xdr:cNvPr id="5" name="Group 4">
          <a:extLst>
            <a:ext uri="{FF2B5EF4-FFF2-40B4-BE49-F238E27FC236}">
              <a16:creationId xmlns:a16="http://schemas.microsoft.com/office/drawing/2014/main" id="{D802445A-B25A-155D-1846-49B797575451}"/>
            </a:ext>
          </a:extLst>
        </xdr:cNvPr>
        <xdr:cNvGrpSpPr/>
      </xdr:nvGrpSpPr>
      <xdr:grpSpPr>
        <a:xfrm>
          <a:off x="0" y="0"/>
          <a:ext cx="14493239" cy="6676168"/>
          <a:chOff x="0" y="0"/>
          <a:chExt cx="14401799" cy="6717534"/>
        </a:xfrm>
      </xdr:grpSpPr>
      <xdr:sp macro="" textlink="">
        <xdr:nvSpPr>
          <xdr:cNvPr id="2" name="Rectangle: Rounded Corners 1">
            <a:extLst>
              <a:ext uri="{FF2B5EF4-FFF2-40B4-BE49-F238E27FC236}">
                <a16:creationId xmlns:a16="http://schemas.microsoft.com/office/drawing/2014/main" id="{B5242602-5305-FAB4-CF41-B976DA5A2D35}"/>
              </a:ext>
            </a:extLst>
          </xdr:cNvPr>
          <xdr:cNvSpPr/>
        </xdr:nvSpPr>
        <xdr:spPr>
          <a:xfrm flipV="1">
            <a:off x="0" y="6541554"/>
            <a:ext cx="14400000" cy="175980"/>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96AD1E27-3D7E-41EB-80F6-CF31D07C9792}"/>
              </a:ext>
            </a:extLst>
          </xdr:cNvPr>
          <xdr:cNvSpPr/>
        </xdr:nvSpPr>
        <xdr:spPr>
          <a:xfrm flipH="1" flipV="1">
            <a:off x="14240424" y="0"/>
            <a:ext cx="161375" cy="6530338"/>
          </a:xfrm>
          <a:prstGeom prst="roundRect">
            <a:avLst>
              <a:gd name="adj"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53340</xdr:colOff>
      <xdr:row>0</xdr:row>
      <xdr:rowOff>45720</xdr:rowOff>
    </xdr:from>
    <xdr:to>
      <xdr:col>4</xdr:col>
      <xdr:colOff>251100</xdr:colOff>
      <xdr:row>37</xdr:row>
      <xdr:rowOff>30480</xdr:rowOff>
    </xdr:to>
    <xdr:sp macro="" textlink="">
      <xdr:nvSpPr>
        <xdr:cNvPr id="6" name="Rectangle: Rounded Corners 5">
          <a:extLst>
            <a:ext uri="{FF2B5EF4-FFF2-40B4-BE49-F238E27FC236}">
              <a16:creationId xmlns:a16="http://schemas.microsoft.com/office/drawing/2014/main" id="{2E995202-D0F0-9E42-2B2F-23C03AE0FDAD}"/>
            </a:ext>
          </a:extLst>
        </xdr:cNvPr>
        <xdr:cNvSpPr/>
      </xdr:nvSpPr>
      <xdr:spPr>
        <a:xfrm>
          <a:off x="53340" y="45720"/>
          <a:ext cx="2897417" cy="6429103"/>
        </a:xfrm>
        <a:prstGeom prst="roundRect">
          <a:avLst>
            <a:gd name="adj" fmla="val 2843"/>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0</xdr:row>
      <xdr:rowOff>45721</xdr:rowOff>
    </xdr:from>
    <xdr:to>
      <xdr:col>21</xdr:col>
      <xdr:colOff>152400</xdr:colOff>
      <xdr:row>5</xdr:row>
      <xdr:rowOff>163534</xdr:rowOff>
    </xdr:to>
    <xdr:sp macro="" textlink="">
      <xdr:nvSpPr>
        <xdr:cNvPr id="7" name="Rectangle: Rounded Corners 6">
          <a:extLst>
            <a:ext uri="{FF2B5EF4-FFF2-40B4-BE49-F238E27FC236}">
              <a16:creationId xmlns:a16="http://schemas.microsoft.com/office/drawing/2014/main" id="{D42F723B-67FC-C6BA-D202-A68E9AB86D56}"/>
            </a:ext>
          </a:extLst>
        </xdr:cNvPr>
        <xdr:cNvSpPr/>
      </xdr:nvSpPr>
      <xdr:spPr>
        <a:xfrm>
          <a:off x="3063240" y="45721"/>
          <a:ext cx="11170920" cy="994113"/>
        </a:xfrm>
        <a:prstGeom prst="roundRect">
          <a:avLst>
            <a:gd name="adj" fmla="val 6224"/>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373380</xdr:colOff>
      <xdr:row>6</xdr:row>
      <xdr:rowOff>108858</xdr:rowOff>
    </xdr:from>
    <xdr:to>
      <xdr:col>9</xdr:col>
      <xdr:colOff>21772</xdr:colOff>
      <xdr:row>13</xdr:row>
      <xdr:rowOff>163286</xdr:rowOff>
    </xdr:to>
    <xdr:sp macro="" textlink="">
      <xdr:nvSpPr>
        <xdr:cNvPr id="9" name="Rectangle: Rounded Corners 8">
          <a:extLst>
            <a:ext uri="{FF2B5EF4-FFF2-40B4-BE49-F238E27FC236}">
              <a16:creationId xmlns:a16="http://schemas.microsoft.com/office/drawing/2014/main" id="{0B55A5E6-6479-DC23-13C8-CB3F0C7302C5}"/>
            </a:ext>
          </a:extLst>
        </xdr:cNvPr>
        <xdr:cNvSpPr/>
      </xdr:nvSpPr>
      <xdr:spPr>
        <a:xfrm>
          <a:off x="3055620" y="1160418"/>
          <a:ext cx="3001192" cy="128124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accent4">
                  <a:lumMod val="50000"/>
                </a:schemeClr>
              </a:solidFill>
              <a:latin typeface="Montserrat SemiBold" panose="00000700000000000000" pitchFamily="2" charset="0"/>
            </a:rPr>
            <a:t>Revenue</a:t>
          </a:r>
        </a:p>
      </xdr:txBody>
    </xdr:sp>
    <xdr:clientData/>
  </xdr:twoCellAnchor>
  <xdr:twoCellAnchor>
    <xdr:from>
      <xdr:col>4</xdr:col>
      <xdr:colOff>374468</xdr:colOff>
      <xdr:row>27</xdr:row>
      <xdr:rowOff>10885</xdr:rowOff>
    </xdr:from>
    <xdr:to>
      <xdr:col>15</xdr:col>
      <xdr:colOff>337457</xdr:colOff>
      <xdr:row>36</xdr:row>
      <xdr:rowOff>174171</xdr:rowOff>
    </xdr:to>
    <xdr:sp macro="" textlink="">
      <xdr:nvSpPr>
        <xdr:cNvPr id="10" name="Rectangle: Rounded Corners 9">
          <a:extLst>
            <a:ext uri="{FF2B5EF4-FFF2-40B4-BE49-F238E27FC236}">
              <a16:creationId xmlns:a16="http://schemas.microsoft.com/office/drawing/2014/main" id="{1162489F-639C-42F7-D4F5-6DAF34312FD7}"/>
            </a:ext>
          </a:extLst>
        </xdr:cNvPr>
        <xdr:cNvSpPr/>
      </xdr:nvSpPr>
      <xdr:spPr>
        <a:xfrm>
          <a:off x="3074125" y="4713514"/>
          <a:ext cx="7387046" cy="17308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160020</xdr:colOff>
      <xdr:row>6</xdr:row>
      <xdr:rowOff>108858</xdr:rowOff>
    </xdr:from>
    <xdr:to>
      <xdr:col>13</xdr:col>
      <xdr:colOff>435428</xdr:colOff>
      <xdr:row>13</xdr:row>
      <xdr:rowOff>163286</xdr:rowOff>
    </xdr:to>
    <xdr:sp macro="" textlink="">
      <xdr:nvSpPr>
        <xdr:cNvPr id="13" name="Rectangle: Rounded Corners 12">
          <a:extLst>
            <a:ext uri="{FF2B5EF4-FFF2-40B4-BE49-F238E27FC236}">
              <a16:creationId xmlns:a16="http://schemas.microsoft.com/office/drawing/2014/main" id="{A77CFF32-2007-39E6-9E88-29FECEFC9491}"/>
            </a:ext>
          </a:extLst>
        </xdr:cNvPr>
        <xdr:cNvSpPr/>
      </xdr:nvSpPr>
      <xdr:spPr>
        <a:xfrm>
          <a:off x="6234249" y="1153887"/>
          <a:ext cx="2975065" cy="12736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2000" b="0" i="0" u="none" strike="noStrike" kern="0" cap="none" spc="0" normalizeH="0" baseline="0" noProof="0">
              <a:ln>
                <a:noFill/>
              </a:ln>
              <a:solidFill>
                <a:srgbClr val="50C49F">
                  <a:lumMod val="50000"/>
                </a:srgbClr>
              </a:solidFill>
              <a:effectLst/>
              <a:uLnTx/>
              <a:uFillTx/>
              <a:latin typeface="Montserrat SemiBold" panose="00000700000000000000" pitchFamily="2" charset="0"/>
              <a:ea typeface="+mn-ea"/>
              <a:cs typeface="+mn-cs"/>
            </a:rPr>
            <a:t>Sales</a:t>
          </a:r>
        </a:p>
      </xdr:txBody>
    </xdr:sp>
    <xdr:clientData/>
  </xdr:twoCellAnchor>
  <xdr:twoCellAnchor>
    <xdr:from>
      <xdr:col>4</xdr:col>
      <xdr:colOff>373381</xdr:colOff>
      <xdr:row>15</xdr:row>
      <xdr:rowOff>32658</xdr:rowOff>
    </xdr:from>
    <xdr:to>
      <xdr:col>11</xdr:col>
      <xdr:colOff>217715</xdr:colOff>
      <xdr:row>26</xdr:row>
      <xdr:rowOff>76200</xdr:rowOff>
    </xdr:to>
    <xdr:sp macro="" textlink="">
      <xdr:nvSpPr>
        <xdr:cNvPr id="15" name="Rectangle: Rounded Corners 14">
          <a:extLst>
            <a:ext uri="{FF2B5EF4-FFF2-40B4-BE49-F238E27FC236}">
              <a16:creationId xmlns:a16="http://schemas.microsoft.com/office/drawing/2014/main" id="{CCCB4FE9-C11A-A992-9203-66768CFEF449}"/>
            </a:ext>
          </a:extLst>
        </xdr:cNvPr>
        <xdr:cNvSpPr/>
      </xdr:nvSpPr>
      <xdr:spPr>
        <a:xfrm>
          <a:off x="3073038" y="2645229"/>
          <a:ext cx="4568734" cy="19594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a:solidFill>
                <a:schemeClr val="accent4">
                  <a:lumMod val="50000"/>
                </a:schemeClr>
              </a:solidFill>
              <a:latin typeface="Montserrat SemiBold" panose="00000700000000000000" pitchFamily="2" charset="0"/>
              <a:ea typeface="+mn-ea"/>
              <a:cs typeface="+mn-cs"/>
            </a:rPr>
            <a:t>Revenue by Product</a:t>
          </a:r>
        </a:p>
      </xdr:txBody>
    </xdr:sp>
    <xdr:clientData/>
  </xdr:twoCellAnchor>
  <xdr:twoCellAnchor>
    <xdr:from>
      <xdr:col>11</xdr:col>
      <xdr:colOff>351608</xdr:colOff>
      <xdr:row>14</xdr:row>
      <xdr:rowOff>97973</xdr:rowOff>
    </xdr:from>
    <xdr:to>
      <xdr:col>18</xdr:col>
      <xdr:colOff>145774</xdr:colOff>
      <xdr:row>26</xdr:row>
      <xdr:rowOff>76200</xdr:rowOff>
    </xdr:to>
    <xdr:sp macro="" textlink="">
      <xdr:nvSpPr>
        <xdr:cNvPr id="16" name="Rectangle: Rounded Corners 15">
          <a:extLst>
            <a:ext uri="{FF2B5EF4-FFF2-40B4-BE49-F238E27FC236}">
              <a16:creationId xmlns:a16="http://schemas.microsoft.com/office/drawing/2014/main" id="{91BB28D5-5DCF-2F67-4F0C-9305C56D1FC0}"/>
            </a:ext>
          </a:extLst>
        </xdr:cNvPr>
        <xdr:cNvSpPr/>
      </xdr:nvSpPr>
      <xdr:spPr>
        <a:xfrm>
          <a:off x="7713191" y="2509869"/>
          <a:ext cx="4478809" cy="2045566"/>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293913</xdr:colOff>
      <xdr:row>6</xdr:row>
      <xdr:rowOff>43542</xdr:rowOff>
    </xdr:from>
    <xdr:to>
      <xdr:col>21</xdr:col>
      <xdr:colOff>119741</xdr:colOff>
      <xdr:row>19</xdr:row>
      <xdr:rowOff>97972</xdr:rowOff>
    </xdr:to>
    <xdr:sp macro="" textlink="">
      <xdr:nvSpPr>
        <xdr:cNvPr id="17" name="Rectangle: Rounded Corners 16">
          <a:extLst>
            <a:ext uri="{FF2B5EF4-FFF2-40B4-BE49-F238E27FC236}">
              <a16:creationId xmlns:a16="http://schemas.microsoft.com/office/drawing/2014/main" id="{B80FDCF9-1F1D-C244-AB0C-3DCFF7640A20}"/>
            </a:ext>
          </a:extLst>
        </xdr:cNvPr>
        <xdr:cNvSpPr/>
      </xdr:nvSpPr>
      <xdr:spPr>
        <a:xfrm>
          <a:off x="12442370" y="1088571"/>
          <a:ext cx="1850571" cy="231865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576942</xdr:colOff>
      <xdr:row>6</xdr:row>
      <xdr:rowOff>108858</xdr:rowOff>
    </xdr:from>
    <xdr:to>
      <xdr:col>18</xdr:col>
      <xdr:colOff>152400</xdr:colOff>
      <xdr:row>13</xdr:row>
      <xdr:rowOff>163286</xdr:rowOff>
    </xdr:to>
    <xdr:sp macro="" textlink="">
      <xdr:nvSpPr>
        <xdr:cNvPr id="18" name="Rectangle: Rounded Corners 17">
          <a:extLst>
            <a:ext uri="{FF2B5EF4-FFF2-40B4-BE49-F238E27FC236}">
              <a16:creationId xmlns:a16="http://schemas.microsoft.com/office/drawing/2014/main" id="{7F2201BB-6B57-105B-0AAD-1678AEE30DBB}"/>
            </a:ext>
          </a:extLst>
        </xdr:cNvPr>
        <xdr:cNvSpPr/>
      </xdr:nvSpPr>
      <xdr:spPr>
        <a:xfrm>
          <a:off x="9350828" y="1153887"/>
          <a:ext cx="2950029" cy="12736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0" lang="en-IN" sz="2000" b="0" i="0" u="none" strike="noStrike" kern="0" cap="none" spc="0" normalizeH="0" baseline="0" noProof="0">
              <a:ln>
                <a:noFill/>
              </a:ln>
              <a:solidFill>
                <a:srgbClr val="50C49F">
                  <a:lumMod val="50000"/>
                </a:srgbClr>
              </a:solidFill>
              <a:effectLst/>
              <a:uLnTx/>
              <a:uFillTx/>
              <a:latin typeface="Montserrat SemiBold" panose="00000700000000000000" pitchFamily="2" charset="0"/>
              <a:ea typeface="+mn-ea"/>
              <a:cs typeface="+mn-cs"/>
            </a:rPr>
            <a:t>Orders</a:t>
          </a:r>
          <a:endParaRPr lang="en-IN" sz="1100"/>
        </a:p>
      </xdr:txBody>
    </xdr:sp>
    <xdr:clientData/>
  </xdr:twoCellAnchor>
  <xdr:twoCellAnchor>
    <xdr:from>
      <xdr:col>15</xdr:col>
      <xdr:colOff>435429</xdr:colOff>
      <xdr:row>27</xdr:row>
      <xdr:rowOff>10885</xdr:rowOff>
    </xdr:from>
    <xdr:to>
      <xdr:col>21</xdr:col>
      <xdr:colOff>130629</xdr:colOff>
      <xdr:row>36</xdr:row>
      <xdr:rowOff>174171</xdr:rowOff>
    </xdr:to>
    <xdr:sp macro="" textlink="">
      <xdr:nvSpPr>
        <xdr:cNvPr id="19" name="Rectangle: Rounded Corners 18">
          <a:extLst>
            <a:ext uri="{FF2B5EF4-FFF2-40B4-BE49-F238E27FC236}">
              <a16:creationId xmlns:a16="http://schemas.microsoft.com/office/drawing/2014/main" id="{6819AA5A-198B-BA40-D8EF-4EF451602269}"/>
            </a:ext>
          </a:extLst>
        </xdr:cNvPr>
        <xdr:cNvSpPr/>
      </xdr:nvSpPr>
      <xdr:spPr>
        <a:xfrm>
          <a:off x="10559143" y="4713514"/>
          <a:ext cx="3744686" cy="1730828"/>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391886</xdr:colOff>
      <xdr:row>14</xdr:row>
      <xdr:rowOff>130629</xdr:rowOff>
    </xdr:from>
    <xdr:to>
      <xdr:col>18</xdr:col>
      <xdr:colOff>10886</xdr:colOff>
      <xdr:row>26</xdr:row>
      <xdr:rowOff>76200</xdr:rowOff>
    </xdr:to>
    <xdr:graphicFrame macro="">
      <xdr:nvGraphicFramePr>
        <xdr:cNvPr id="20" name="Chart 19">
          <a:extLst>
            <a:ext uri="{FF2B5EF4-FFF2-40B4-BE49-F238E27FC236}">
              <a16:creationId xmlns:a16="http://schemas.microsoft.com/office/drawing/2014/main" id="{C071A5A1-7A60-4290-B107-A70CE870F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407032</xdr:colOff>
      <xdr:row>27</xdr:row>
      <xdr:rowOff>32658</xdr:rowOff>
    </xdr:from>
    <xdr:to>
      <xdr:col>15</xdr:col>
      <xdr:colOff>283029</xdr:colOff>
      <xdr:row>36</xdr:row>
      <xdr:rowOff>170860</xdr:rowOff>
    </xdr:to>
    <xdr:graphicFrame macro="">
      <xdr:nvGraphicFramePr>
        <xdr:cNvPr id="21" name="Chart 20">
          <a:extLst>
            <a:ext uri="{FF2B5EF4-FFF2-40B4-BE49-F238E27FC236}">
              <a16:creationId xmlns:a16="http://schemas.microsoft.com/office/drawing/2014/main" id="{2DDE2185-A7FF-4155-980E-DEE4B5133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465247</xdr:colOff>
      <xdr:row>27</xdr:row>
      <xdr:rowOff>43541</xdr:rowOff>
    </xdr:from>
    <xdr:to>
      <xdr:col>21</xdr:col>
      <xdr:colOff>65314</xdr:colOff>
      <xdr:row>36</xdr:row>
      <xdr:rowOff>141514</xdr:rowOff>
    </xdr:to>
    <xdr:graphicFrame macro="">
      <xdr:nvGraphicFramePr>
        <xdr:cNvPr id="22" name="Chart 21">
          <a:extLst>
            <a:ext uri="{FF2B5EF4-FFF2-40B4-BE49-F238E27FC236}">
              <a16:creationId xmlns:a16="http://schemas.microsoft.com/office/drawing/2014/main" id="{ADE262B8-F43A-495C-AC71-294D080D99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389518</xdr:colOff>
      <xdr:row>16</xdr:row>
      <xdr:rowOff>119743</xdr:rowOff>
    </xdr:from>
    <xdr:to>
      <xdr:col>11</xdr:col>
      <xdr:colOff>174171</xdr:colOff>
      <xdr:row>26</xdr:row>
      <xdr:rowOff>21771</xdr:rowOff>
    </xdr:to>
    <xdr:graphicFrame macro="">
      <xdr:nvGraphicFramePr>
        <xdr:cNvPr id="23" name="Chart 22">
          <a:extLst>
            <a:ext uri="{FF2B5EF4-FFF2-40B4-BE49-F238E27FC236}">
              <a16:creationId xmlns:a16="http://schemas.microsoft.com/office/drawing/2014/main" id="{B0544119-DE36-487C-B2D1-683367FCC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326572</xdr:colOff>
      <xdr:row>6</xdr:row>
      <xdr:rowOff>119742</xdr:rowOff>
    </xdr:from>
    <xdr:to>
      <xdr:col>21</xdr:col>
      <xdr:colOff>108857</xdr:colOff>
      <xdr:row>18</xdr:row>
      <xdr:rowOff>119743</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FCA48E89-A479-4254-B8A2-204C9FFCE10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75029" y="1164771"/>
              <a:ext cx="1807028" cy="2090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293913</xdr:colOff>
      <xdr:row>19</xdr:row>
      <xdr:rowOff>141513</xdr:rowOff>
    </xdr:from>
    <xdr:to>
      <xdr:col>21</xdr:col>
      <xdr:colOff>119741</xdr:colOff>
      <xdr:row>26</xdr:row>
      <xdr:rowOff>32656</xdr:rowOff>
    </xdr:to>
    <xdr:sp macro="" textlink="">
      <xdr:nvSpPr>
        <xdr:cNvPr id="26" name="Rectangle: Rounded Corners 25">
          <a:extLst>
            <a:ext uri="{FF2B5EF4-FFF2-40B4-BE49-F238E27FC236}">
              <a16:creationId xmlns:a16="http://schemas.microsoft.com/office/drawing/2014/main" id="{DF450E36-9050-3CDE-C177-4BFD89795822}"/>
            </a:ext>
          </a:extLst>
        </xdr:cNvPr>
        <xdr:cNvSpPr/>
      </xdr:nvSpPr>
      <xdr:spPr>
        <a:xfrm>
          <a:off x="12396266" y="3548101"/>
          <a:ext cx="1842887" cy="1146202"/>
        </a:xfrm>
        <a:prstGeom prst="roundRect">
          <a:avLst>
            <a:gd name="adj" fmla="val 2843"/>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304800</xdr:colOff>
      <xdr:row>20</xdr:row>
      <xdr:rowOff>130628</xdr:rowOff>
    </xdr:from>
    <xdr:to>
      <xdr:col>21</xdr:col>
      <xdr:colOff>92400</xdr:colOff>
      <xdr:row>25</xdr:row>
      <xdr:rowOff>130628</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729D527F-E0BF-47B7-97AC-994147EB97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453257" y="3614057"/>
              <a:ext cx="1812343" cy="870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179294</xdr:colOff>
      <xdr:row>9</xdr:row>
      <xdr:rowOff>134471</xdr:rowOff>
    </xdr:from>
    <xdr:to>
      <xdr:col>8</xdr:col>
      <xdr:colOff>359229</xdr:colOff>
      <xdr:row>13</xdr:row>
      <xdr:rowOff>26894</xdr:rowOff>
    </xdr:to>
    <xdr:sp macro="" textlink="'Pivot Tables'!B37">
      <xdr:nvSpPr>
        <xdr:cNvPr id="28" name="TextBox 27">
          <a:extLst>
            <a:ext uri="{FF2B5EF4-FFF2-40B4-BE49-F238E27FC236}">
              <a16:creationId xmlns:a16="http://schemas.microsoft.com/office/drawing/2014/main" id="{ECE8EF01-80A6-9BD2-A462-6C5EC5554F2A}"/>
            </a:ext>
          </a:extLst>
        </xdr:cNvPr>
        <xdr:cNvSpPr txBox="1"/>
      </xdr:nvSpPr>
      <xdr:spPr>
        <a:xfrm>
          <a:off x="3553865" y="1702014"/>
          <a:ext cx="2204678"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1EE32F-AABC-4319-B49E-3AFAB996CB06}" type="TxLink">
            <a:rPr lang="en-US" sz="3600" b="0" i="0" u="none" strike="noStrike">
              <a:solidFill>
                <a:schemeClr val="accent4">
                  <a:lumMod val="50000"/>
                </a:schemeClr>
              </a:solidFill>
              <a:latin typeface="Montserrat SemiBold" panose="00000700000000000000" pitchFamily="2" charset="0"/>
            </a:rPr>
            <a:t>846500</a:t>
          </a:fld>
          <a:endParaRPr lang="en-IN" sz="3600">
            <a:solidFill>
              <a:schemeClr val="accent4">
                <a:lumMod val="50000"/>
              </a:schemeClr>
            </a:solidFill>
            <a:latin typeface="Montserrat SemiBold" panose="00000700000000000000" pitchFamily="2" charset="0"/>
          </a:endParaRPr>
        </a:p>
      </xdr:txBody>
    </xdr:sp>
    <xdr:clientData/>
  </xdr:twoCellAnchor>
  <xdr:twoCellAnchor>
    <xdr:from>
      <xdr:col>10</xdr:col>
      <xdr:colOff>80683</xdr:colOff>
      <xdr:row>9</xdr:row>
      <xdr:rowOff>134471</xdr:rowOff>
    </xdr:from>
    <xdr:to>
      <xdr:col>13</xdr:col>
      <xdr:colOff>260617</xdr:colOff>
      <xdr:row>13</xdr:row>
      <xdr:rowOff>26894</xdr:rowOff>
    </xdr:to>
    <xdr:sp macro="" textlink="'Pivot Tables'!D37">
      <xdr:nvSpPr>
        <xdr:cNvPr id="29" name="TextBox 28">
          <a:extLst>
            <a:ext uri="{FF2B5EF4-FFF2-40B4-BE49-F238E27FC236}">
              <a16:creationId xmlns:a16="http://schemas.microsoft.com/office/drawing/2014/main" id="{DD9628BB-8F57-433D-2100-DC4C5DF82310}"/>
            </a:ext>
          </a:extLst>
        </xdr:cNvPr>
        <xdr:cNvSpPr txBox="1"/>
      </xdr:nvSpPr>
      <xdr:spPr>
        <a:xfrm>
          <a:off x="6829826" y="1702014"/>
          <a:ext cx="2204677"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082E2A-0459-439B-8E3B-C65816625980}" type="TxLink">
            <a:rPr lang="en-US" sz="3600" b="0" i="0" u="none" strike="noStrike">
              <a:solidFill>
                <a:schemeClr val="accent4">
                  <a:lumMod val="50000"/>
                </a:schemeClr>
              </a:solidFill>
              <a:latin typeface="Montserrat SemiBold" panose="00000700000000000000" pitchFamily="2" charset="0"/>
              <a:ea typeface="+mn-ea"/>
              <a:cs typeface="+mn-cs"/>
            </a:rPr>
            <a:pPr marL="0" indent="0"/>
            <a:t>2620</a:t>
          </a:fld>
          <a:endParaRPr lang="en-IN" sz="3600" b="0" i="0" u="none" strike="noStrike">
            <a:solidFill>
              <a:schemeClr val="accent4">
                <a:lumMod val="50000"/>
              </a:schemeClr>
            </a:solidFill>
            <a:latin typeface="Montserrat SemiBold" panose="00000700000000000000" pitchFamily="2" charset="0"/>
            <a:ea typeface="+mn-ea"/>
            <a:cs typeface="+mn-cs"/>
          </a:endParaRPr>
        </a:p>
      </xdr:txBody>
    </xdr:sp>
    <xdr:clientData/>
  </xdr:twoCellAnchor>
  <xdr:twoCellAnchor>
    <xdr:from>
      <xdr:col>14</xdr:col>
      <xdr:colOff>421341</xdr:colOff>
      <xdr:row>9</xdr:row>
      <xdr:rowOff>134471</xdr:rowOff>
    </xdr:from>
    <xdr:to>
      <xdr:col>17</xdr:col>
      <xdr:colOff>604355</xdr:colOff>
      <xdr:row>13</xdr:row>
      <xdr:rowOff>26894</xdr:rowOff>
    </xdr:to>
    <xdr:sp macro="" textlink="'Pivot Tables'!F37">
      <xdr:nvSpPr>
        <xdr:cNvPr id="30" name="TextBox 29">
          <a:extLst>
            <a:ext uri="{FF2B5EF4-FFF2-40B4-BE49-F238E27FC236}">
              <a16:creationId xmlns:a16="http://schemas.microsoft.com/office/drawing/2014/main" id="{4712BA24-3C86-E01C-BB0C-AE4C53D52E9D}"/>
            </a:ext>
          </a:extLst>
        </xdr:cNvPr>
        <xdr:cNvSpPr txBox="1"/>
      </xdr:nvSpPr>
      <xdr:spPr>
        <a:xfrm>
          <a:off x="9870141" y="1702014"/>
          <a:ext cx="2207757"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3E8467-9334-4442-BD95-44259FDC4FB6}" type="TxLink">
            <a:rPr lang="en-US" sz="3600" b="0" i="0" u="none" strike="noStrike">
              <a:solidFill>
                <a:schemeClr val="accent4">
                  <a:lumMod val="50000"/>
                </a:schemeClr>
              </a:solidFill>
              <a:latin typeface="Montserrat SemiBold" panose="00000700000000000000" pitchFamily="2" charset="0"/>
              <a:ea typeface="+mn-ea"/>
              <a:cs typeface="+mn-cs"/>
            </a:rPr>
            <a:pPr marL="0" indent="0"/>
            <a:t>10</a:t>
          </a:fld>
          <a:endParaRPr lang="en-IN" sz="3600" b="0" i="0" u="none" strike="noStrike">
            <a:solidFill>
              <a:schemeClr val="accent4">
                <a:lumMod val="50000"/>
              </a:schemeClr>
            </a:solidFill>
            <a:latin typeface="Montserrat SemiBold" panose="00000700000000000000" pitchFamily="2" charset="0"/>
            <a:ea typeface="+mn-ea"/>
            <a:cs typeface="+mn-cs"/>
          </a:endParaRPr>
        </a:p>
      </xdr:txBody>
    </xdr:sp>
    <xdr:clientData/>
  </xdr:twoCellAnchor>
  <xdr:twoCellAnchor>
    <xdr:from>
      <xdr:col>1</xdr:col>
      <xdr:colOff>206829</xdr:colOff>
      <xdr:row>1</xdr:row>
      <xdr:rowOff>80043</xdr:rowOff>
    </xdr:from>
    <xdr:to>
      <xdr:col>4</xdr:col>
      <xdr:colOff>97971</xdr:colOff>
      <xdr:row>4</xdr:row>
      <xdr:rowOff>146637</xdr:rowOff>
    </xdr:to>
    <xdr:sp macro="" textlink="">
      <xdr:nvSpPr>
        <xdr:cNvPr id="31" name="TextBox 30">
          <a:extLst>
            <a:ext uri="{FF2B5EF4-FFF2-40B4-BE49-F238E27FC236}">
              <a16:creationId xmlns:a16="http://schemas.microsoft.com/office/drawing/2014/main" id="{E337F92C-DC0F-FA4A-DCE7-5FD57D57D19B}"/>
            </a:ext>
          </a:extLst>
        </xdr:cNvPr>
        <xdr:cNvSpPr txBox="1"/>
      </xdr:nvSpPr>
      <xdr:spPr>
        <a:xfrm>
          <a:off x="881743" y="254214"/>
          <a:ext cx="1915885"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0" lang="en-US" sz="2800" b="0" i="0" u="none" strike="noStrike" kern="0" cap="none" spc="0" normalizeH="0" baseline="0" noProof="0">
              <a:ln>
                <a:noFill/>
              </a:ln>
              <a:solidFill>
                <a:srgbClr val="50C49F">
                  <a:lumMod val="20000"/>
                  <a:lumOff val="80000"/>
                </a:srgbClr>
              </a:solidFill>
              <a:effectLst/>
              <a:uLnTx/>
              <a:uFillTx/>
              <a:latin typeface="Montserrat SemiBold" panose="00000700000000000000" pitchFamily="2" charset="0"/>
              <a:ea typeface="+mn-ea"/>
              <a:cs typeface="+mn-cs"/>
            </a:rPr>
            <a:t>KartShop</a:t>
          </a:r>
          <a:endParaRPr lang="en-US" sz="5400" b="0" i="0" u="none" strike="noStrike">
            <a:solidFill>
              <a:schemeClr val="accent4">
                <a:lumMod val="20000"/>
                <a:lumOff val="80000"/>
              </a:schemeClr>
            </a:solidFill>
            <a:latin typeface="Montserrat SemiBold" panose="00000700000000000000" pitchFamily="2" charset="0"/>
          </a:endParaRPr>
        </a:p>
      </xdr:txBody>
    </xdr:sp>
    <xdr:clientData/>
  </xdr:twoCellAnchor>
  <xdr:twoCellAnchor>
    <xdr:from>
      <xdr:col>5</xdr:col>
      <xdr:colOff>113980</xdr:colOff>
      <xdr:row>1</xdr:row>
      <xdr:rowOff>80043</xdr:rowOff>
    </xdr:from>
    <xdr:to>
      <xdr:col>12</xdr:col>
      <xdr:colOff>87086</xdr:colOff>
      <xdr:row>4</xdr:row>
      <xdr:rowOff>146637</xdr:rowOff>
    </xdr:to>
    <xdr:sp macro="" textlink="">
      <xdr:nvSpPr>
        <xdr:cNvPr id="32" name="TextBox 31">
          <a:extLst>
            <a:ext uri="{FF2B5EF4-FFF2-40B4-BE49-F238E27FC236}">
              <a16:creationId xmlns:a16="http://schemas.microsoft.com/office/drawing/2014/main" id="{451B71F4-C912-5F36-365C-5715BAB4CEA7}"/>
            </a:ext>
          </a:extLst>
        </xdr:cNvPr>
        <xdr:cNvSpPr txBox="1"/>
      </xdr:nvSpPr>
      <xdr:spPr>
        <a:xfrm>
          <a:off x="3488551" y="254214"/>
          <a:ext cx="4697506" cy="589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0" i="0" u="none" strike="noStrike">
              <a:solidFill>
                <a:schemeClr val="accent4">
                  <a:lumMod val="20000"/>
                  <a:lumOff val="80000"/>
                </a:schemeClr>
              </a:solidFill>
              <a:latin typeface="Montserrat SemiBold" panose="00000700000000000000" pitchFamily="2" charset="0"/>
            </a:rPr>
            <a:t>Sales Dashboard</a:t>
          </a:r>
        </a:p>
      </xdr:txBody>
    </xdr:sp>
    <xdr:clientData/>
  </xdr:twoCellAnchor>
  <xdr:twoCellAnchor editAs="oneCell">
    <xdr:from>
      <xdr:col>12</xdr:col>
      <xdr:colOff>391886</xdr:colOff>
      <xdr:row>0</xdr:row>
      <xdr:rowOff>152400</xdr:rowOff>
    </xdr:from>
    <xdr:to>
      <xdr:col>18</xdr:col>
      <xdr:colOff>76200</xdr:colOff>
      <xdr:row>7</xdr:row>
      <xdr:rowOff>152401</xdr:rowOff>
    </xdr:to>
    <mc:AlternateContent xmlns:mc="http://schemas.openxmlformats.org/markup-compatibility/2006">
      <mc:Choice xmlns:tsle="http://schemas.microsoft.com/office/drawing/2012/timeslicer" Requires="tsle">
        <xdr:graphicFrame macro="">
          <xdr:nvGraphicFramePr>
            <xdr:cNvPr id="33" name="Dated 1">
              <a:extLst>
                <a:ext uri="{FF2B5EF4-FFF2-40B4-BE49-F238E27FC236}">
                  <a16:creationId xmlns:a16="http://schemas.microsoft.com/office/drawing/2014/main" id="{C776B8AD-5A03-49B8-B164-FA6824CF565D}"/>
                </a:ext>
              </a:extLst>
            </xdr:cNvPr>
            <xdr:cNvGraphicFramePr/>
          </xdr:nvGraphicFramePr>
          <xdr:xfrm>
            <a:off x="0" y="0"/>
            <a:ext cx="0" cy="0"/>
          </xdr:xfrm>
          <a:graphic>
            <a:graphicData uri="http://schemas.microsoft.com/office/drawing/2012/timeslicer">
              <tsle:timeslicer xmlns:tsle="http://schemas.microsoft.com/office/drawing/2012/timeslicer" name="Dated 1"/>
            </a:graphicData>
          </a:graphic>
        </xdr:graphicFrame>
      </mc:Choice>
      <mc:Fallback>
        <xdr:sp macro="" textlink="">
          <xdr:nvSpPr>
            <xdr:cNvPr id="0" name=""/>
            <xdr:cNvSpPr>
              <a:spLocks noTextEdit="1"/>
            </xdr:cNvSpPr>
          </xdr:nvSpPr>
          <xdr:spPr>
            <a:xfrm>
              <a:off x="8490857" y="152400"/>
              <a:ext cx="3733800" cy="121920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331694</xdr:colOff>
      <xdr:row>6</xdr:row>
      <xdr:rowOff>134470</xdr:rowOff>
    </xdr:from>
    <xdr:to>
      <xdr:col>3</xdr:col>
      <xdr:colOff>511629</xdr:colOff>
      <xdr:row>16</xdr:row>
      <xdr:rowOff>141514</xdr:rowOff>
    </xdr:to>
    <xdr:sp macro="" textlink="">
      <xdr:nvSpPr>
        <xdr:cNvPr id="36" name="TextBox 35">
          <a:extLst>
            <a:ext uri="{FF2B5EF4-FFF2-40B4-BE49-F238E27FC236}">
              <a16:creationId xmlns:a16="http://schemas.microsoft.com/office/drawing/2014/main" id="{16704DF7-60CD-C2AB-9E19-ABDD9D9BB792}"/>
            </a:ext>
          </a:extLst>
        </xdr:cNvPr>
        <xdr:cNvSpPr txBox="1"/>
      </xdr:nvSpPr>
      <xdr:spPr>
        <a:xfrm>
          <a:off x="331694" y="1179499"/>
          <a:ext cx="2204678" cy="1748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accent4">
                  <a:lumMod val="20000"/>
                  <a:lumOff val="80000"/>
                </a:schemeClr>
              </a:solidFill>
              <a:latin typeface="Montserrat Medium" panose="00000600000000000000" pitchFamily="2" charset="0"/>
            </a:rPr>
            <a:t>This</a:t>
          </a:r>
          <a:r>
            <a:rPr lang="en-US" sz="1600" b="0" i="0" u="none" strike="noStrike" baseline="0">
              <a:solidFill>
                <a:schemeClr val="accent4">
                  <a:lumMod val="20000"/>
                  <a:lumOff val="80000"/>
                </a:schemeClr>
              </a:solidFill>
              <a:latin typeface="Montserrat Medium" panose="00000600000000000000" pitchFamily="2" charset="0"/>
            </a:rPr>
            <a:t> is a dashboard for sales analytics of KartShop</a:t>
          </a:r>
          <a:endParaRPr lang="en-US" sz="1600" b="0" i="0" u="none" strike="noStrike">
            <a:solidFill>
              <a:schemeClr val="accent4">
                <a:lumMod val="20000"/>
                <a:lumOff val="80000"/>
              </a:schemeClr>
            </a:solidFill>
            <a:latin typeface="Montserrat Medium" panose="00000600000000000000" pitchFamily="2"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45720</xdr:rowOff>
    </xdr:from>
    <xdr:to>
      <xdr:col>3</xdr:col>
      <xdr:colOff>487680</xdr:colOff>
      <xdr:row>31</xdr:row>
      <xdr:rowOff>0</xdr:rowOff>
    </xdr:to>
    <xdr:sp macro="" textlink="">
      <xdr:nvSpPr>
        <xdr:cNvPr id="2" name="Rectangle: Rounded Corners 1">
          <a:extLst>
            <a:ext uri="{FF2B5EF4-FFF2-40B4-BE49-F238E27FC236}">
              <a16:creationId xmlns:a16="http://schemas.microsoft.com/office/drawing/2014/main" id="{4598D020-30D2-3147-877A-FDFEC24E9A3F}"/>
            </a:ext>
          </a:extLst>
        </xdr:cNvPr>
        <xdr:cNvSpPr/>
      </xdr:nvSpPr>
      <xdr:spPr>
        <a:xfrm>
          <a:off x="60960" y="45720"/>
          <a:ext cx="2438400" cy="5387340"/>
        </a:xfrm>
        <a:prstGeom prst="roundRect">
          <a:avLst>
            <a:gd name="adj" fmla="val 6141"/>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0</xdr:row>
      <xdr:rowOff>45720</xdr:rowOff>
    </xdr:from>
    <xdr:to>
      <xdr:col>20</xdr:col>
      <xdr:colOff>647700</xdr:colOff>
      <xdr:row>5</xdr:row>
      <xdr:rowOff>137160</xdr:rowOff>
    </xdr:to>
    <xdr:sp macro="" textlink="">
      <xdr:nvSpPr>
        <xdr:cNvPr id="3" name="Rectangle: Rounded Corners 2">
          <a:extLst>
            <a:ext uri="{FF2B5EF4-FFF2-40B4-BE49-F238E27FC236}">
              <a16:creationId xmlns:a16="http://schemas.microsoft.com/office/drawing/2014/main" id="{556FD9E8-D139-3514-E7CC-9D4044284B1D}"/>
            </a:ext>
          </a:extLst>
        </xdr:cNvPr>
        <xdr:cNvSpPr/>
      </xdr:nvSpPr>
      <xdr:spPr>
        <a:xfrm>
          <a:off x="2598420" y="45720"/>
          <a:ext cx="11460480" cy="967740"/>
        </a:xfrm>
        <a:prstGeom prst="roundRect">
          <a:avLst>
            <a:gd name="adj" fmla="val 16377"/>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20</xdr:row>
      <xdr:rowOff>144780</xdr:rowOff>
    </xdr:from>
    <xdr:to>
      <xdr:col>12</xdr:col>
      <xdr:colOff>220980</xdr:colOff>
      <xdr:row>31</xdr:row>
      <xdr:rowOff>0</xdr:rowOff>
    </xdr:to>
    <xdr:sp macro="" textlink="">
      <xdr:nvSpPr>
        <xdr:cNvPr id="4" name="Rectangle: Rounded Corners 3">
          <a:extLst>
            <a:ext uri="{FF2B5EF4-FFF2-40B4-BE49-F238E27FC236}">
              <a16:creationId xmlns:a16="http://schemas.microsoft.com/office/drawing/2014/main" id="{F9FC41C8-348D-79E9-3167-42BBCD941521}"/>
            </a:ext>
          </a:extLst>
        </xdr:cNvPr>
        <xdr:cNvSpPr/>
      </xdr:nvSpPr>
      <xdr:spPr>
        <a:xfrm>
          <a:off x="2598420" y="3649980"/>
          <a:ext cx="5669280" cy="178308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586740</xdr:colOff>
      <xdr:row>6</xdr:row>
      <xdr:rowOff>53340</xdr:rowOff>
    </xdr:from>
    <xdr:to>
      <xdr:col>12</xdr:col>
      <xdr:colOff>220980</xdr:colOff>
      <xdr:row>20</xdr:row>
      <xdr:rowOff>53340</xdr:rowOff>
    </xdr:to>
    <xdr:sp macro="" textlink="">
      <xdr:nvSpPr>
        <xdr:cNvPr id="5" name="Rectangle: Rounded Corners 4">
          <a:extLst>
            <a:ext uri="{FF2B5EF4-FFF2-40B4-BE49-F238E27FC236}">
              <a16:creationId xmlns:a16="http://schemas.microsoft.com/office/drawing/2014/main" id="{35C5ED9A-CC00-961E-8C22-5D8827E41243}"/>
            </a:ext>
          </a:extLst>
        </xdr:cNvPr>
        <xdr:cNvSpPr/>
      </xdr:nvSpPr>
      <xdr:spPr>
        <a:xfrm>
          <a:off x="2598420" y="1104900"/>
          <a:ext cx="5669280" cy="245364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335280</xdr:colOff>
      <xdr:row>20</xdr:row>
      <xdr:rowOff>144780</xdr:rowOff>
    </xdr:from>
    <xdr:to>
      <xdr:col>20</xdr:col>
      <xdr:colOff>601980</xdr:colOff>
      <xdr:row>31</xdr:row>
      <xdr:rowOff>0</xdr:rowOff>
    </xdr:to>
    <xdr:sp macro="" textlink="">
      <xdr:nvSpPr>
        <xdr:cNvPr id="7" name="Rectangle: Rounded Corners 6">
          <a:extLst>
            <a:ext uri="{FF2B5EF4-FFF2-40B4-BE49-F238E27FC236}">
              <a16:creationId xmlns:a16="http://schemas.microsoft.com/office/drawing/2014/main" id="{04BB43E4-4F4F-534F-E0A0-9A2CA8CA094F}"/>
            </a:ext>
          </a:extLst>
        </xdr:cNvPr>
        <xdr:cNvSpPr/>
      </xdr:nvSpPr>
      <xdr:spPr>
        <a:xfrm>
          <a:off x="8382000" y="3649980"/>
          <a:ext cx="5631180" cy="178308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335280</xdr:colOff>
      <xdr:row>6</xdr:row>
      <xdr:rowOff>53340</xdr:rowOff>
    </xdr:from>
    <xdr:to>
      <xdr:col>20</xdr:col>
      <xdr:colOff>601980</xdr:colOff>
      <xdr:row>20</xdr:row>
      <xdr:rowOff>53340</xdr:rowOff>
    </xdr:to>
    <xdr:sp macro="" textlink="">
      <xdr:nvSpPr>
        <xdr:cNvPr id="8" name="Rectangle: Rounded Corners 7">
          <a:extLst>
            <a:ext uri="{FF2B5EF4-FFF2-40B4-BE49-F238E27FC236}">
              <a16:creationId xmlns:a16="http://schemas.microsoft.com/office/drawing/2014/main" id="{6794A181-5E09-EFA2-C6D3-973760C2046D}"/>
            </a:ext>
          </a:extLst>
        </xdr:cNvPr>
        <xdr:cNvSpPr/>
      </xdr:nvSpPr>
      <xdr:spPr>
        <a:xfrm>
          <a:off x="8382000" y="1104900"/>
          <a:ext cx="5631180" cy="2453640"/>
        </a:xfrm>
        <a:prstGeom prst="roundRect">
          <a:avLst>
            <a:gd name="adj" fmla="val 6141"/>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1175760</xdr:colOff>
      <xdr:row>12</xdr:row>
      <xdr:rowOff>6840</xdr:rowOff>
    </xdr:from>
    <xdr:to>
      <xdr:col>1</xdr:col>
      <xdr:colOff>16533</xdr:colOff>
      <xdr:row>12</xdr:row>
      <xdr:rowOff>21600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42" name="Ink 141">
              <a:extLst>
                <a:ext uri="{FF2B5EF4-FFF2-40B4-BE49-F238E27FC236}">
                  <a16:creationId xmlns:a16="http://schemas.microsoft.com/office/drawing/2014/main" id="{4507A0C9-EABA-57D3-82FF-82CBD947B555}"/>
                </a:ext>
              </a:extLst>
            </xdr14:cNvPr>
            <xdr14:cNvContentPartPr/>
          </xdr14:nvContentPartPr>
          <xdr14:nvPr macro=""/>
          <xdr14:xfrm>
            <a:off x="1175760" y="2158369"/>
            <a:ext cx="13320" cy="14760"/>
          </xdr14:xfrm>
        </xdr:contentPart>
      </mc:Choice>
      <mc:Fallback xmlns="">
        <xdr:pic>
          <xdr:nvPicPr>
            <xdr:cNvPr id="142" name="Ink 141">
              <a:extLst>
                <a:ext uri="{FF2B5EF4-FFF2-40B4-BE49-F238E27FC236}">
                  <a16:creationId xmlns:a16="http://schemas.microsoft.com/office/drawing/2014/main" id="{4507A0C9-EABA-57D3-82FF-82CBD947B555}"/>
                </a:ext>
              </a:extLst>
            </xdr:cNvPr>
            <xdr:cNvPicPr/>
          </xdr:nvPicPr>
          <xdr:blipFill>
            <a:blip xmlns:r="http://schemas.openxmlformats.org/officeDocument/2006/relationships" r:embed="rId2"/>
            <a:stretch>
              <a:fillRect/>
            </a:stretch>
          </xdr:blipFill>
          <xdr:spPr>
            <a:xfrm>
              <a:off x="1169640" y="2152249"/>
              <a:ext cx="25560" cy="27000"/>
            </a:xfrm>
            <a:prstGeom prst="rect">
              <a:avLst/>
            </a:prstGeom>
          </xdr:spPr>
        </xdr:pic>
      </mc:Fallback>
    </mc:AlternateContent>
    <xdr:clientData/>
  </xdr:twoCellAnchor>
  <xdr:oneCellAnchor>
    <xdr:from>
      <xdr:col>3</xdr:col>
      <xdr:colOff>1175760</xdr:colOff>
      <xdr:row>12</xdr:row>
      <xdr:rowOff>6840</xdr:rowOff>
    </xdr:from>
    <xdr:ext cx="11765" cy="147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43" name="Ink 142">
              <a:extLst>
                <a:ext uri="{FF2B5EF4-FFF2-40B4-BE49-F238E27FC236}">
                  <a16:creationId xmlns:a16="http://schemas.microsoft.com/office/drawing/2014/main" id="{36785CAE-9F89-4BA5-956F-2141558CD53A}"/>
                </a:ext>
              </a:extLst>
            </xdr14:cNvPr>
            <xdr14:cNvContentPartPr/>
          </xdr14:nvContentPartPr>
          <xdr14:nvPr macro=""/>
          <xdr14:xfrm>
            <a:off x="1175760" y="2158369"/>
            <a:ext cx="13320" cy="14760"/>
          </xdr14:xfrm>
        </xdr:contentPart>
      </mc:Choice>
      <mc:Fallback xmlns="">
        <xdr:pic>
          <xdr:nvPicPr>
            <xdr:cNvPr id="143" name="Ink 142">
              <a:extLst>
                <a:ext uri="{FF2B5EF4-FFF2-40B4-BE49-F238E27FC236}">
                  <a16:creationId xmlns:a16="http://schemas.microsoft.com/office/drawing/2014/main" id="{36785CAE-9F89-4BA5-956F-2141558CD53A}"/>
                </a:ext>
              </a:extLst>
            </xdr:cNvPr>
            <xdr:cNvPicPr/>
          </xdr:nvPicPr>
          <xdr:blipFill>
            <a:blip xmlns:r="http://schemas.openxmlformats.org/officeDocument/2006/relationships" r:embed="rId2"/>
            <a:stretch>
              <a:fillRect/>
            </a:stretch>
          </xdr:blipFill>
          <xdr:spPr>
            <a:xfrm>
              <a:off x="1169640" y="2152249"/>
              <a:ext cx="25560" cy="27000"/>
            </a:xfrm>
            <a:prstGeom prst="rect">
              <a:avLst/>
            </a:prstGeom>
          </xdr:spPr>
        </xdr:pic>
      </mc:Fallback>
    </mc:AlternateContent>
    <xdr:clientData/>
  </xdr:oneCellAnchor>
  <xdr:oneCellAnchor>
    <xdr:from>
      <xdr:col>6</xdr:col>
      <xdr:colOff>1175760</xdr:colOff>
      <xdr:row>12</xdr:row>
      <xdr:rowOff>6840</xdr:rowOff>
    </xdr:from>
    <xdr:ext cx="11765" cy="147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44" name="Ink 143">
              <a:extLst>
                <a:ext uri="{FF2B5EF4-FFF2-40B4-BE49-F238E27FC236}">
                  <a16:creationId xmlns:a16="http://schemas.microsoft.com/office/drawing/2014/main" id="{4FFA8C57-2CB2-4648-8972-4C084E9448D2}"/>
                </a:ext>
              </a:extLst>
            </xdr14:cNvPr>
            <xdr14:cNvContentPartPr/>
          </xdr14:nvContentPartPr>
          <xdr14:nvPr macro=""/>
          <xdr14:xfrm>
            <a:off x="1175760" y="2158369"/>
            <a:ext cx="13320" cy="14760"/>
          </xdr14:xfrm>
        </xdr:contentPart>
      </mc:Choice>
      <mc:Fallback xmlns="">
        <xdr:pic>
          <xdr:nvPicPr>
            <xdr:cNvPr id="144" name="Ink 143">
              <a:extLst>
                <a:ext uri="{FF2B5EF4-FFF2-40B4-BE49-F238E27FC236}">
                  <a16:creationId xmlns:a16="http://schemas.microsoft.com/office/drawing/2014/main" id="{4FFA8C57-2CB2-4648-8972-4C084E9448D2}"/>
                </a:ext>
              </a:extLst>
            </xdr:cNvPr>
            <xdr:cNvPicPr/>
          </xdr:nvPicPr>
          <xdr:blipFill>
            <a:blip xmlns:r="http://schemas.openxmlformats.org/officeDocument/2006/relationships" r:embed="rId2"/>
            <a:stretch>
              <a:fillRect/>
            </a:stretch>
          </xdr:blipFill>
          <xdr:spPr>
            <a:xfrm>
              <a:off x="1169640" y="2152249"/>
              <a:ext cx="25560" cy="27000"/>
            </a:xfrm>
            <a:prstGeom prst="rect">
              <a:avLst/>
            </a:prstGeom>
          </xdr:spPr>
        </xdr:pic>
      </mc:Fallback>
    </mc:AlternateContent>
    <xdr:clientData/>
  </xdr:oneCellAnchor>
  <xdr:twoCellAnchor editAs="oneCell">
    <xdr:from>
      <xdr:col>2</xdr:col>
      <xdr:colOff>262387</xdr:colOff>
      <xdr:row>39</xdr:row>
      <xdr:rowOff>96885</xdr:rowOff>
    </xdr:from>
    <xdr:to>
      <xdr:col>2</xdr:col>
      <xdr:colOff>271747</xdr:colOff>
      <xdr:row>39</xdr:row>
      <xdr:rowOff>100485</xdr:rowOff>
    </xdr:to>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251" name="Ink 250">
              <a:extLst>
                <a:ext uri="{FF2B5EF4-FFF2-40B4-BE49-F238E27FC236}">
                  <a16:creationId xmlns:a16="http://schemas.microsoft.com/office/drawing/2014/main" id="{DA3C1DA2-CFE2-4423-A3E7-0A25F4019159}"/>
                </a:ext>
              </a:extLst>
            </xdr14:cNvPr>
            <xdr14:cNvContentPartPr/>
          </xdr14:nvContentPartPr>
          <xdr14:nvPr macro=""/>
          <xdr14:xfrm>
            <a:off x="2448996" y="6815737"/>
            <a:ext cx="9360" cy="3600"/>
          </xdr14:xfrm>
        </xdr:contentPart>
      </mc:Choice>
      <mc:Fallback>
        <xdr:pic>
          <xdr:nvPicPr>
            <xdr:cNvPr id="251" name="Ink 250">
              <a:extLst>
                <a:ext uri="{FF2B5EF4-FFF2-40B4-BE49-F238E27FC236}">
                  <a16:creationId xmlns:a16="http://schemas.microsoft.com/office/drawing/2014/main" id="{DA3C1DA2-CFE2-4423-A3E7-0A25F4019159}"/>
                </a:ext>
              </a:extLst>
            </xdr:cNvPr>
            <xdr:cNvPicPr/>
          </xdr:nvPicPr>
          <xdr:blipFill>
            <a:blip xmlns:r="http://schemas.openxmlformats.org/officeDocument/2006/relationships" r:embed="rId6"/>
            <a:stretch>
              <a:fillRect/>
            </a:stretch>
          </xdr:blipFill>
          <xdr:spPr>
            <a:xfrm>
              <a:off x="2442876" y="6809617"/>
              <a:ext cx="21600" cy="15840"/>
            </a:xfrm>
            <a:prstGeom prst="rect">
              <a:avLst/>
            </a:prstGeom>
          </xdr:spPr>
        </xdr:pic>
      </mc:Fallback>
    </mc:AlternateContent>
    <xdr:clientData/>
  </xdr:twoCellAnchor>
  <xdr:twoCellAnchor>
    <xdr:from>
      <xdr:col>0</xdr:col>
      <xdr:colOff>881268</xdr:colOff>
      <xdr:row>13</xdr:row>
      <xdr:rowOff>86139</xdr:rowOff>
    </xdr:from>
    <xdr:to>
      <xdr:col>3</xdr:col>
      <xdr:colOff>79512</xdr:colOff>
      <xdr:row>24</xdr:row>
      <xdr:rowOff>119270</xdr:rowOff>
    </xdr:to>
    <xdr:graphicFrame macro="">
      <xdr:nvGraphicFramePr>
        <xdr:cNvPr id="23" name="Chart 22">
          <a:extLst>
            <a:ext uri="{FF2B5EF4-FFF2-40B4-BE49-F238E27FC236}">
              <a16:creationId xmlns:a16="http://schemas.microsoft.com/office/drawing/2014/main" id="{9CD43B21-FB2D-3B15-2B0C-40813B5A3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530087</xdr:colOff>
      <xdr:row>15</xdr:row>
      <xdr:rowOff>145772</xdr:rowOff>
    </xdr:from>
    <xdr:to>
      <xdr:col>5</xdr:col>
      <xdr:colOff>675861</xdr:colOff>
      <xdr:row>26</xdr:row>
      <xdr:rowOff>6626</xdr:rowOff>
    </xdr:to>
    <xdr:graphicFrame macro="">
      <xdr:nvGraphicFramePr>
        <xdr:cNvPr id="24" name="Chart 23">
          <a:extLst>
            <a:ext uri="{FF2B5EF4-FFF2-40B4-BE49-F238E27FC236}">
              <a16:creationId xmlns:a16="http://schemas.microsoft.com/office/drawing/2014/main" id="{43B05361-26C2-A295-1B0B-CB0740222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145775</xdr:colOff>
      <xdr:row>6</xdr:row>
      <xdr:rowOff>26503</xdr:rowOff>
    </xdr:from>
    <xdr:to>
      <xdr:col>11</xdr:col>
      <xdr:colOff>265044</xdr:colOff>
      <xdr:row>16</xdr:row>
      <xdr:rowOff>13252</xdr:rowOff>
    </xdr:to>
    <xdr:graphicFrame macro="">
      <xdr:nvGraphicFramePr>
        <xdr:cNvPr id="25" name="Chart 24">
          <a:extLst>
            <a:ext uri="{FF2B5EF4-FFF2-40B4-BE49-F238E27FC236}">
              <a16:creationId xmlns:a16="http://schemas.microsoft.com/office/drawing/2014/main" id="{54FAF53E-FE03-781E-AA4C-C0254009C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1188408</xdr:colOff>
      <xdr:row>31</xdr:row>
      <xdr:rowOff>80682</xdr:rowOff>
    </xdr:from>
    <xdr:to>
      <xdr:col>9</xdr:col>
      <xdr:colOff>1095642</xdr:colOff>
      <xdr:row>42</xdr:row>
      <xdr:rowOff>120830</xdr:rowOff>
    </xdr:to>
    <xdr:graphicFrame macro="">
      <xdr:nvGraphicFramePr>
        <xdr:cNvPr id="27" name="Chart 26">
          <a:extLst>
            <a:ext uri="{FF2B5EF4-FFF2-40B4-BE49-F238E27FC236}">
              <a16:creationId xmlns:a16="http://schemas.microsoft.com/office/drawing/2014/main" id="{997A65BF-32E4-8286-CF83-E3B11CEA0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639631</xdr:colOff>
      <xdr:row>13</xdr:row>
      <xdr:rowOff>147916</xdr:rowOff>
    </xdr:from>
    <xdr:to>
      <xdr:col>14</xdr:col>
      <xdr:colOff>451373</xdr:colOff>
      <xdr:row>30</xdr:row>
      <xdr:rowOff>170329</xdr:rowOff>
    </xdr:to>
    <mc:AlternateContent xmlns:mc="http://schemas.openxmlformats.org/markup-compatibility/2006">
      <mc:Choice xmlns:a14="http://schemas.microsoft.com/office/drawing/2010/main" Requires="a14">
        <xdr:graphicFrame macro="">
          <xdr:nvGraphicFramePr>
            <xdr:cNvPr id="30" name="Product">
              <a:extLst>
                <a:ext uri="{FF2B5EF4-FFF2-40B4-BE49-F238E27FC236}">
                  <a16:creationId xmlns:a16="http://schemas.microsoft.com/office/drawing/2014/main" id="{DF4133D5-81BE-A30D-A308-0DC9935AE2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891266" y="2387533"/>
              <a:ext cx="1819446" cy="29511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150158</xdr:colOff>
      <xdr:row>12</xdr:row>
      <xdr:rowOff>138505</xdr:rowOff>
    </xdr:from>
    <xdr:to>
      <xdr:col>7</xdr:col>
      <xdr:colOff>65540</xdr:colOff>
      <xdr:row>20</xdr:row>
      <xdr:rowOff>75752</xdr:rowOff>
    </xdr:to>
    <mc:AlternateContent xmlns:mc="http://schemas.openxmlformats.org/markup-compatibility/2006">
      <mc:Choice xmlns:tsle="http://schemas.microsoft.com/office/drawing/2012/timeslicer" Requires="tsle">
        <xdr:graphicFrame macro="">
          <xdr:nvGraphicFramePr>
            <xdr:cNvPr id="33" name="Dated">
              <a:extLst>
                <a:ext uri="{FF2B5EF4-FFF2-40B4-BE49-F238E27FC236}">
                  <a16:creationId xmlns:a16="http://schemas.microsoft.com/office/drawing/2014/main" id="{D9A26CD1-5CD9-832F-C8F0-A3EB3950AED9}"/>
                </a:ext>
              </a:extLst>
            </xdr:cNvPr>
            <xdr:cNvGraphicFramePr/>
          </xdr:nvGraphicFramePr>
          <xdr:xfrm>
            <a:off x="0" y="0"/>
            <a:ext cx="0" cy="0"/>
          </xdr:xfrm>
          <a:graphic>
            <a:graphicData uri="http://schemas.microsoft.com/office/drawing/2012/timeslicer">
              <tsle:timeslicer xmlns:tsle="http://schemas.microsoft.com/office/drawing/2012/timeslicer" name="Dated"/>
            </a:graphicData>
          </a:graphic>
        </xdr:graphicFrame>
      </mc:Choice>
      <mc:Fallback>
        <xdr:sp macro="" textlink="">
          <xdr:nvSpPr>
            <xdr:cNvPr id="0" name=""/>
            <xdr:cNvSpPr>
              <a:spLocks noTextEdit="1"/>
            </xdr:cNvSpPr>
          </xdr:nvSpPr>
          <xdr:spPr>
            <a:xfrm>
              <a:off x="4761915" y="2205844"/>
              <a:ext cx="3334442" cy="13154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6:56:49.689"/>
    </inkml:context>
    <inkml:brush xml:id="br0">
      <inkml:brushProperty name="width" value="0.035" units="cm"/>
      <inkml:brushProperty name="height" value="0.035" units="cm"/>
    </inkml:brush>
  </inkml:definitions>
  <inkml:trace contextRef="#ctx0" brushRef="#br0">1580 1872 1528 0 0,'-6'-7'418'0'0,"5"7"-399"0"0,1-1-1 0 0,-1 1 1 0 0,1 0 0 0 0,-1-1-1 0 0,1 1 1 0 0,-1-1 0 0 0,1 1 0 0 0,0-1-1 0 0,-1 1 1 0 0,1-1 0 0 0,-1 1-1 0 0,1-1 1 0 0,0 0 0 0 0,0 1 0 0 0,-1-1-1 0 0,1 1 1 0 0,0-1 0 0 0,0 0-1 0 0,0 1 1 0 0,0-1 0 0 0,0 0 0 0 0,0 0-1 0 0,-6-4 27 0 0,7 4-51 0 0,0 1 6 0 0,0 0 1 0 0,-1 0-1 0 0,1 0 1 0 0,-1 0-1 0 0,1 0 1 0 0,0 0-1 0 0,-1 0 1 0 0,1 0-1 0 0,0 0 1 0 0,-1 0-1 0 0,1 0 1 0 0,0 1-1 0 0,-1-1 0 0 0,1 0 1 0 0,-1 0-1 0 0,1 1 1 0 0,-1-1-1 0 0,1 0 1 0 0,0 1-1 0 0,-1-1 1 0 0,1 1-1 0 0,-1-1 1 0 0,0 1-1 0 0,1-1 1 0 0,-1 1-1 0 0,1-1 1 0 0,-1 1-1 0 0,0-1 0 0 0,1 1 1 0 0,-1 0-1 0 0,0-1 1 0 0,0 1-1 0 0,1-1 1 0 0,-1 1-1 0 0,0 0 1 0 0,0 1-1 0 0,-2 0-135 0 0,0 1-1 0 0,0-1 0 0 0,0 0 1 0 0,0 0-1 0 0,-1 0 1 0 0,1 0-1 0 0,-1 0 0 0 0,1 0 1 0 0,-5 1-1 0 0,-2 1-640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7:13:43.569"/>
    </inkml:context>
    <inkml:brush xml:id="br0">
      <inkml:brushProperty name="width" value="0.035" units="cm"/>
      <inkml:brushProperty name="height" value="0.035" units="cm"/>
    </inkml:brush>
  </inkml:definitions>
  <inkml:trace contextRef="#ctx0" brushRef="#br0">1580 1872 1528 0 0,'-6'-7'418'0'0,"5"7"-399"0"0,1-1-1 0 0,-1 1 1 0 0,1 0 0 0 0,-1-1-1 0 0,1 1 1 0 0,-1-1 0 0 0,1 1 0 0 0,0-1-1 0 0,-1 1 1 0 0,1-1 0 0 0,-1 1-1 0 0,1-1 1 0 0,0 0 0 0 0,0 1 0 0 0,-1-1-1 0 0,1 1 1 0 0,0-1 0 0 0,0 0-1 0 0,0 1 1 0 0,0-1 0 0 0,0 0 0 0 0,0 0-1 0 0,-6-4 27 0 0,7 4-51 0 0,0 1 6 0 0,0 0 1 0 0,-1 0-1 0 0,1 0 1 0 0,-1 0-1 0 0,1 0 1 0 0,0 0-1 0 0,-1 0 1 0 0,1 0-1 0 0,0 0 1 0 0,-1 0-1 0 0,1 0 1 0 0,0 1-1 0 0,-1-1 0 0 0,1 0 1 0 0,-1 0-1 0 0,1 1 1 0 0,-1-1-1 0 0,1 0 1 0 0,0 1-1 0 0,-1-1 1 0 0,1 1-1 0 0,-1-1 1 0 0,0 1-1 0 0,1-1 1 0 0,-1 1-1 0 0,1-1 1 0 0,-1 1-1 0 0,0-1 0 0 0,1 1 1 0 0,-1 0-1 0 0,0-1 1 0 0,0 1-1 0 0,1-1 1 0 0,-1 1-1 0 0,0 0 1 0 0,0 1-1 0 0,-2 0-135 0 0,0 1-1 0 0,0-1 0 0 0,0 0 1 0 0,0 0-1 0 0,-1 0 1 0 0,1 0-1 0 0,-1 0 0 0 0,1 0 1 0 0,-5 1-1 0 0,-2 1-640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7:20:57.209"/>
    </inkml:context>
    <inkml:brush xml:id="br0">
      <inkml:brushProperty name="width" value="0.035" units="cm"/>
      <inkml:brushProperty name="height" value="0.035" units="cm"/>
    </inkml:brush>
  </inkml:definitions>
  <inkml:trace contextRef="#ctx0" brushRef="#br0">1580 1872 1528 0 0,'-6'-7'418'0'0,"5"7"-399"0"0,1-1-1 0 0,-1 1 1 0 0,1 0 0 0 0,-1-1-1 0 0,1 1 1 0 0,-1-1 0 0 0,1 1 0 0 0,0-1-1 0 0,-1 1 1 0 0,1-1 0 0 0,-1 1-1 0 0,1-1 1 0 0,0 0 0 0 0,0 1 0 0 0,-1-1-1 0 0,1 1 1 0 0,0-1 0 0 0,0 0-1 0 0,0 1 1 0 0,0-1 0 0 0,0 0 0 0 0,0 0-1 0 0,-6-4 27 0 0,7 4-51 0 0,0 1 6 0 0,0 0 1 0 0,-1 0-1 0 0,1 0 1 0 0,-1 0-1 0 0,1 0 1 0 0,0 0-1 0 0,-1 0 1 0 0,1 0-1 0 0,0 0 1 0 0,-1 0-1 0 0,1 0 1 0 0,0 1-1 0 0,-1-1 0 0 0,1 0 1 0 0,-1 0-1 0 0,1 1 1 0 0,-1-1-1 0 0,1 0 1 0 0,0 1-1 0 0,-1-1 1 0 0,1 1-1 0 0,-1-1 1 0 0,0 1-1 0 0,1-1 1 0 0,-1 1-1 0 0,1-1 1 0 0,-1 1-1 0 0,0-1 0 0 0,1 1 1 0 0,-1 0-1 0 0,0-1 1 0 0,0 1-1 0 0,1-1 1 0 0,-1 1-1 0 0,0 0 1 0 0,0 1-1 0 0,-2 0-135 0 0,0 1-1 0 0,0-1 0 0 0,0 0 1 0 0,0 0-1 0 0,-1 0 1 0 0,1 0-1 0 0,-1 0 0 0 0,1 0 1 0 0,-5 1-1 0 0,-2 1-640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9-19T07:28:10.982"/>
    </inkml:context>
    <inkml:brush xml:id="br0">
      <inkml:brushProperty name="width" value="0.035" units="cm"/>
      <inkml:brushProperty name="height" value="0.035" units="cm"/>
    </inkml:brush>
  </inkml:definitions>
  <inkml:trace contextRef="#ctx0" brushRef="#br0">671 121 8 0 0,'0'-2'120'0'0,"-3"1"-24"0"0,1 1-44 0 0,-4-2-16 0 0,3 2-20 0 0,0-2-12 0 0,3 0 0 0 0,-2 2-24 0 0,-1 0 0 0 0,0 0-16 0 0,3 2-32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 Idrees" refreshedDate="46285.546498958334" createdVersion="8" refreshedVersion="8" minRefreshableVersion="3" recordCount="10" xr:uid="{7A99111D-AFE0-4C94-97B0-9E937C8C919E}">
  <cacheSource type="worksheet">
    <worksheetSource ref="B4:H14" sheet="Data Sheet"/>
  </cacheSource>
  <cacheFields count="10">
    <cacheField name="Product" numFmtId="0">
      <sharedItems count="10">
        <s v="Desktop"/>
        <s v="Laptop"/>
        <s v="Smartphone"/>
        <s v="Tablet"/>
        <s v="Camera"/>
        <s v="Monitor"/>
        <s v="Scanner"/>
        <s v="Printer"/>
        <s v="Keyboard"/>
        <s v="Mouse"/>
      </sharedItems>
    </cacheField>
    <cacheField name="Category" numFmtId="0">
      <sharedItems count="2">
        <s v="Electronics"/>
        <s v="Accessories"/>
      </sharedItems>
    </cacheField>
    <cacheField name="Price" numFmtId="0">
      <sharedItems containsSemiMixedTypes="0" containsString="0" containsNumber="1" containsInteger="1" minValue="20" maxValue="1200"/>
    </cacheField>
    <cacheField name="Units sold" numFmtId="0">
      <sharedItems containsSemiMixedTypes="0" containsString="0" containsNumber="1" containsInteger="1" minValue="40" maxValue="700"/>
    </cacheField>
    <cacheField name="Region" numFmtId="0">
      <sharedItems count="4">
        <s v="West"/>
        <s v="North"/>
        <s v="East"/>
        <s v="South"/>
      </sharedItems>
    </cacheField>
    <cacheField name="Revenue" numFmtId="0">
      <sharedItems containsSemiMixedTypes="0" containsString="0" containsNumber="1" containsInteger="1" minValue="7500" maxValue="240000"/>
    </cacheField>
    <cacheField name="Dated" numFmtId="14">
      <sharedItems containsSemiMixedTypes="0" containsNonDate="0" containsDate="1" containsString="0" minDate="2023-05-13T00:00:00" maxDate="2024-12-15T00:00:00" count="10">
        <d v="2023-05-13T00:00:00"/>
        <d v="2024-05-10T00:00:00"/>
        <d v="2024-10-12T00:00:00"/>
        <d v="2024-05-11T00:00:00"/>
        <d v="2024-02-19T00:00:00"/>
        <d v="2024-12-14T00:00:00"/>
        <d v="2024-03-18T00:00:00"/>
        <d v="2023-05-17T00:00:00"/>
        <d v="2024-04-15T00:00:00"/>
        <d v="2024-05-16T00:00:00"/>
      </sharedItems>
      <fieldGroup par="9"/>
    </cacheField>
    <cacheField name="Months (Dated)" numFmtId="0" databaseField="0">
      <fieldGroup base="6">
        <rangePr groupBy="months" startDate="2023-05-13T00:00:00" endDate="2024-12-15T00:00:00"/>
        <groupItems count="14">
          <s v="&lt;13-05-2023"/>
          <s v="Jan"/>
          <s v="Feb"/>
          <s v="Mar"/>
          <s v="Apr"/>
          <s v="May"/>
          <s v="Jun"/>
          <s v="Jul"/>
          <s v="Aug"/>
          <s v="Sep"/>
          <s v="Oct"/>
          <s v="Nov"/>
          <s v="Dec"/>
          <s v="&gt;15-12-2024"/>
        </groupItems>
      </fieldGroup>
    </cacheField>
    <cacheField name="Quarters (Dated)" numFmtId="0" databaseField="0">
      <fieldGroup base="6">
        <rangePr groupBy="quarters" startDate="2023-05-13T00:00:00" endDate="2024-12-15T00:00:00"/>
        <groupItems count="6">
          <s v="&lt;13-05-2023"/>
          <s v="Qtr1"/>
          <s v="Qtr2"/>
          <s v="Qtr3"/>
          <s v="Qtr4"/>
          <s v="&gt;15-12-2024"/>
        </groupItems>
      </fieldGroup>
    </cacheField>
    <cacheField name="Years (Dated)" numFmtId="0" databaseField="0">
      <fieldGroup base="6">
        <rangePr groupBy="years" startDate="2023-05-13T00:00:00" endDate="2024-12-15T00:00:00"/>
        <groupItems count="4">
          <s v="&lt;13-05-2023"/>
          <s v="2023"/>
          <s v="2024"/>
          <s v="&gt;15-12-2024"/>
        </groupItems>
      </fieldGroup>
    </cacheField>
  </cacheFields>
  <extLst>
    <ext xmlns:x14="http://schemas.microsoft.com/office/spreadsheetml/2009/9/main" uri="{725AE2AE-9491-48be-B2B4-4EB974FC3084}">
      <x14:pivotCacheDefinition pivotCacheId="830856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1200"/>
    <n v="100"/>
    <x v="0"/>
    <n v="120000"/>
    <x v="0"/>
  </r>
  <r>
    <x v="1"/>
    <x v="0"/>
    <n v="1000"/>
    <n v="200"/>
    <x v="1"/>
    <n v="200000"/>
    <x v="1"/>
  </r>
  <r>
    <x v="2"/>
    <x v="0"/>
    <n v="800"/>
    <n v="300"/>
    <x v="2"/>
    <n v="240000"/>
    <x v="2"/>
  </r>
  <r>
    <x v="3"/>
    <x v="0"/>
    <n v="500"/>
    <n v="150"/>
    <x v="3"/>
    <n v="75000"/>
    <x v="3"/>
  </r>
  <r>
    <x v="4"/>
    <x v="0"/>
    <n v="400"/>
    <n v="80"/>
    <x v="3"/>
    <n v="32000"/>
    <x v="4"/>
  </r>
  <r>
    <x v="5"/>
    <x v="1"/>
    <n v="300"/>
    <n v="400"/>
    <x v="1"/>
    <n v="120000"/>
    <x v="5"/>
  </r>
  <r>
    <x v="6"/>
    <x v="0"/>
    <n v="200"/>
    <n v="40"/>
    <x v="1"/>
    <n v="8000"/>
    <x v="6"/>
  </r>
  <r>
    <x v="7"/>
    <x v="0"/>
    <n v="150"/>
    <n v="50"/>
    <x v="0"/>
    <n v="7500"/>
    <x v="7"/>
  </r>
  <r>
    <x v="8"/>
    <x v="1"/>
    <n v="50"/>
    <n v="600"/>
    <x v="3"/>
    <n v="30000"/>
    <x v="8"/>
  </r>
  <r>
    <x v="9"/>
    <x v="1"/>
    <n v="20"/>
    <n v="700"/>
    <x v="2"/>
    <n v="1400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BF886-ED0B-41BF-B18C-FD4AF913328D}" name="PivotTable29"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2:F33" firstHeaderRow="1" firstDataRow="1" firstDataCol="0"/>
  <pivotFields count="10">
    <pivotField dataField="1"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67507E-FE25-44BC-A6B4-E95937BB6746}" name="PivotTable4"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H18:J29" firstHeaderRow="0" firstDataRow="1" firstDataCol="1"/>
  <pivotFields count="10">
    <pivotField axis="axisRow"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pivotField showAll="0"/>
    <pivotField showAll="0">
      <items count="5">
        <item x="0"/>
        <item x="1"/>
        <item x="2"/>
        <item x="3"/>
        <item t="default"/>
      </items>
    </pivotField>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Units sold" fld="3" baseField="0" baseItem="0"/>
    <dataField name="Sum of Revenue" fld="5"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40FE32-12B1-4014-B596-37AEE137EF99}" name="PivotTable2"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2:B33" firstHeaderRow="1" firstDataRow="1" firstDataCol="0"/>
  <pivotFields count="10">
    <pivotField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F6790F-7BB1-4450-9CBA-3323A6AF86C8}" name="PivotTable1"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8:C13" firstHeaderRow="1" firstDataRow="1" firstDataCol="1"/>
  <pivotFields count="10">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axis="axisRow"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Units sold" fld="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B0EEB3-A527-49A7-82CD-8F94BD3EA5BA}" name="PivotTable6"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2:D33" firstHeaderRow="1" firstDataRow="1" firstDataCol="0"/>
  <pivotFields count="10">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Units 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EA38A5-140D-40B5-A1AE-51CB02BDD01E}" name="PivotTable5"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H8:I11" firstHeaderRow="1" firstDataRow="1" firstDataCol="1"/>
  <pivotFields count="10">
    <pivotField showAll="0">
      <items count="11">
        <item x="4"/>
        <item x="0"/>
        <item x="8"/>
        <item x="1"/>
        <item x="5"/>
        <item x="9"/>
        <item x="7"/>
        <item x="6"/>
        <item x="2"/>
        <item x="3"/>
        <item t="default"/>
      </items>
    </pivotField>
    <pivotField axis="axisRow" showAll="0">
      <items count="3">
        <item x="1"/>
        <item x="0"/>
        <item t="default"/>
      </items>
    </pivotField>
    <pivotField showAll="0"/>
    <pivotField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x="2"/>
        <item sd="0" x="3"/>
        <item sd="0" x="4"/>
        <item sd="0" x="5"/>
        <item t="default"/>
      </items>
    </pivotField>
    <pivotField showAll="0">
      <items count="5">
        <item sd="0" x="0"/>
        <item sd="0" x="1"/>
        <item sd="0" x="2"/>
        <item sd="0" x="3"/>
        <item t="default"/>
      </items>
    </pivotField>
  </pivotFields>
  <rowFields count="1">
    <field x="1"/>
  </rowFields>
  <rowItems count="3">
    <i>
      <x/>
    </i>
    <i>
      <x v="1"/>
    </i>
    <i t="grand">
      <x/>
    </i>
  </rowItems>
  <colItems count="1">
    <i/>
  </colItems>
  <dataFields count="1">
    <dataField name="Sum of Revenue" fld="5" baseField="0" baseItem="0"/>
  </dataFields>
  <chartFormats count="7">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19FBFC-38CA-4028-BB59-D1432BBAB806}" name="PivotTable3"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8:F15" firstHeaderRow="1" firstDataRow="1" firstDataCol="1"/>
  <pivotFields count="10">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7">
    <i>
      <x v="2"/>
    </i>
    <i>
      <x v="3"/>
    </i>
    <i>
      <x v="4"/>
    </i>
    <i>
      <x v="5"/>
    </i>
    <i>
      <x v="10"/>
    </i>
    <i>
      <x v="12"/>
    </i>
    <i t="grand">
      <x/>
    </i>
  </rowItems>
  <colItems count="1">
    <i/>
  </colItems>
  <dataFields count="1">
    <dataField name="Sum of Units sold" fld="3"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0AB61F-7C6B-4236-AD21-F81AB5F4E0D9}" name="PivotTable28"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14:O15" firstHeaderRow="1" firstDataRow="1" firstDataCol="0"/>
  <pivotFields count="10">
    <pivotField showAll="0">
      <items count="11">
        <item x="4"/>
        <item x="0"/>
        <item x="8"/>
        <item x="1"/>
        <item x="5"/>
        <item x="9"/>
        <item x="7"/>
        <item x="6"/>
        <item x="2"/>
        <item x="3"/>
        <item t="default"/>
      </items>
    </pivotField>
    <pivotField showAll="0">
      <items count="3">
        <item x="1"/>
        <item x="0"/>
        <item t="default"/>
      </items>
    </pivotField>
    <pivotField showAll="0"/>
    <pivotField dataField="1"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Units sold" fld="3" baseField="0" baseItem="0"/>
  </dataFields>
  <formats count="3">
    <format dxfId="186">
      <pivotArea type="all" dataOnly="0" outline="0" fieldPosition="0"/>
    </format>
    <format dxfId="187">
      <pivotArea outline="0" collapsedLevelsAreSubtotals="1" fieldPosition="0"/>
    </format>
    <format dxfId="1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F38F09-D0DD-4CBB-B785-BAAB6B4695EA}" name="PivotTable27"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14:M15" firstHeaderRow="1" firstDataRow="1" firstDataCol="0"/>
  <pivotFields count="10">
    <pivotField dataField="1"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showAll="0"/>
    <pivotField numFmtId="14" showAll="0">
      <items count="11">
        <item x="0"/>
        <item x="7"/>
        <item x="4"/>
        <item x="6"/>
        <item x="8"/>
        <item x="1"/>
        <item x="3"/>
        <item x="9"/>
        <item x="2"/>
        <item x="5"/>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Product" fld="0" subtotal="count" baseField="0" baseItem="0"/>
  </dataFields>
  <formats count="3">
    <format dxfId="183">
      <pivotArea type="all" dataOnly="0" outline="0" fieldPosition="0"/>
    </format>
    <format dxfId="184">
      <pivotArea outline="0" collapsedLevelsAreSubtotals="1" fieldPosition="0"/>
    </format>
    <format dxfId="1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9EC882-D483-4CDB-9A5F-14BF6488D667}" name="PivotTable26" cacheId="10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K14:K15" firstHeaderRow="1" firstDataRow="1" firstDataCol="0"/>
  <pivotFields count="10">
    <pivotField showAll="0">
      <items count="11">
        <item x="4"/>
        <item x="0"/>
        <item x="8"/>
        <item x="1"/>
        <item x="5"/>
        <item x="9"/>
        <item x="7"/>
        <item x="6"/>
        <item x="2"/>
        <item x="3"/>
        <item t="default"/>
      </items>
    </pivotField>
    <pivotField showAll="0">
      <items count="3">
        <item x="1"/>
        <item x="0"/>
        <item t="default"/>
      </items>
    </pivotField>
    <pivotField showAll="0"/>
    <pivotField showAll="0"/>
    <pivotField showAll="0">
      <items count="5">
        <item x="2"/>
        <item x="1"/>
        <item x="3"/>
        <item x="0"/>
        <item t="default"/>
      </items>
    </pivotField>
    <pivotField dataField="1" showAll="0"/>
    <pivotField numFmtId="14" showAll="0">
      <items count="11">
        <item x="0"/>
        <item x="7"/>
        <item x="4"/>
        <item x="6"/>
        <item x="8"/>
        <item x="1"/>
        <item x="3"/>
        <item x="9"/>
        <item x="2"/>
        <item x="5"/>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Revenue" fld="5" baseField="0" baseItem="0"/>
  </dataFields>
  <formats count="3">
    <format dxfId="180">
      <pivotArea type="all" dataOnly="0" outline="0" fieldPosition="0"/>
    </format>
    <format dxfId="181">
      <pivotArea outline="0" collapsedLevelsAreSubtotals="1" fieldPosition="0"/>
    </format>
    <format dxfId="1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5DE291B-75F6-4899-9CA9-86DA784EC96E}" sourceName="Category">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s>
  <data>
    <tabular pivotCacheId="83085625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A9B88C6-0AB2-41F2-B330-134B2FAF4878}" sourceName="Product">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s>
  <data>
    <tabular pivotCacheId="830856256">
      <items count="10">
        <i x="4" s="1"/>
        <i x="0" s="1"/>
        <i x="8" s="1"/>
        <i x="1" s="1"/>
        <i x="5" s="1"/>
        <i x="9" s="1"/>
        <i x="7"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6A862E-B297-443C-B2EB-11B905001995}" sourceName="Region">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s>
  <data>
    <tabular pivotCacheId="830856256">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DA6535-1940-48ED-89A6-7CF815F1E768}" cache="Slicer_Category" caption="Category" style="SlicerStyleDark4" rowHeight="222250"/>
  <slicer name="Region" xr10:uid="{CAB20B25-303F-498A-8FE6-998057AD2CFA}" cache="Slicer_Region" caption="Region" style="SlicerStyleDark4"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5B07C42-F05C-4F3E-9BA4-7C2F72C1BE69}" cache="Slicer_Product" caption="Product" rowHeight="222250"/>
</slicers>
</file>

<file path=xl/theme/theme1.xml><?xml version="1.0" encoding="utf-8"?>
<a:theme xmlns:a="http://schemas.openxmlformats.org/drawingml/2006/main" name="Atlas">
  <a:themeElements>
    <a:clrScheme name="Atlas">
      <a:dk1>
        <a:sysClr val="windowText" lastClr="000000"/>
      </a:dk1>
      <a:lt1>
        <a:sysClr val="window" lastClr="FFFFFF"/>
      </a:lt1>
      <a:dk2>
        <a:srgbClr val="454545"/>
      </a:dk2>
      <a:lt2>
        <a:srgbClr val="E0E0E0"/>
      </a:lt2>
      <a:accent1>
        <a:srgbClr val="F81B02"/>
      </a:accent1>
      <a:accent2>
        <a:srgbClr val="FC7715"/>
      </a:accent2>
      <a:accent3>
        <a:srgbClr val="AFBF41"/>
      </a:accent3>
      <a:accent4>
        <a:srgbClr val="50C49F"/>
      </a:accent4>
      <a:accent5>
        <a:srgbClr val="3B95C4"/>
      </a:accent5>
      <a:accent6>
        <a:srgbClr val="B560D4"/>
      </a:accent6>
      <a:hlink>
        <a:srgbClr val="FC5A1A"/>
      </a:hlink>
      <a:folHlink>
        <a:srgbClr val="B49E74"/>
      </a:folHlink>
    </a:clrScheme>
    <a:fontScheme name="Atlas">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panose="020606030202050204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tlas">
      <a:fillStyleLst>
        <a:solidFill>
          <a:schemeClr val="phClr"/>
        </a:solidFill>
        <a:gradFill rotWithShape="1">
          <a:gsLst>
            <a:gs pos="0">
              <a:schemeClr val="phClr">
                <a:tint val="62000"/>
                <a:alpha val="60000"/>
                <a:satMod val="109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hade val="90000"/>
            </a:schemeClr>
          </a:solidFill>
          <a:prstDash val="solid"/>
        </a:ln>
        <a:ln w="15875" cap="flat" cmpd="sng" algn="ctr">
          <a:solidFill>
            <a:schemeClr val="phClr">
              <a:shade val="90000"/>
            </a:scheme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38100" dist="25400" dir="5400000" rotWithShape="0">
              <a:srgbClr val="000000">
                <a:alpha val="75000"/>
              </a:srgbClr>
            </a:outerShdw>
          </a:effectLst>
          <a:scene3d>
            <a:camera prst="orthographicFront">
              <a:rot lat="0" lon="0" rev="0"/>
            </a:camera>
            <a:lightRig rig="threePt" dir="tl"/>
          </a:scene3d>
          <a:sp3d>
            <a:bevelT w="0" h="0"/>
          </a:sp3d>
        </a:effectStyle>
      </a:effectStyleLst>
      <a:bgFillStyleLst>
        <a:solidFill>
          <a:schemeClr val="phClr"/>
        </a:solidFill>
        <a:solidFill>
          <a:schemeClr val="phClr"/>
        </a:solidFill>
        <a:gradFill rotWithShape="1">
          <a:gsLst>
            <a:gs pos="10000">
              <a:schemeClr val="phClr">
                <a:tint val="94000"/>
                <a:lumMod val="116000"/>
              </a:schemeClr>
            </a:gs>
            <a:gs pos="100000">
              <a:schemeClr val="phClr">
                <a:tint val="98000"/>
                <a:shade val="86000"/>
                <a:satMod val="90000"/>
                <a:lumMod val="88000"/>
              </a:schemeClr>
            </a:gs>
          </a:gsLst>
          <a:path path="circle">
            <a:fillToRect l="50000" t="15000" r="50000" b="169000"/>
          </a:path>
        </a:gradFill>
      </a:bgFillStyleLst>
    </a:fmtScheme>
  </a:themeElements>
  <a:objectDefaults/>
  <a:extraClrSchemeLst/>
  <a:extLst>
    <a:ext uri="{05A4C25C-085E-4340-85A3-A5531E510DB2}">
      <thm15:themeFamily xmlns:thm15="http://schemas.microsoft.com/office/thememl/2012/main" name="Atlas" id="{5156B0E4-0EB1-49FE-A26B-15F6F698AEC6}" vid="{508F7963-D0B5-43F7-BB2C-FCE3009C08EC}"/>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d" xr10:uid="{03950151-F791-47C9-A072-CB6FDEC5D97E}" sourceName="Dated">
  <pivotTables>
    <pivotTable tabId="3" name="PivotTable3"/>
    <pivotTable tabId="2" name="PivotTable26"/>
    <pivotTable tabId="2" name="PivotTable27"/>
    <pivotTable tabId="2" name="PivotTable28"/>
    <pivotTable tabId="3" name="PivotTable1"/>
    <pivotTable tabId="3" name="PivotTable2"/>
    <pivotTable tabId="3" name="PivotTable29"/>
    <pivotTable tabId="3" name="PivotTable4"/>
    <pivotTable tabId="3" name="PivotTable5"/>
    <pivotTable tabId="3" name="PivotTable6"/>
  </pivotTables>
  <state minimalRefreshVersion="6" lastRefreshVersion="6" pivotCacheId="8308562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 1" xr10:uid="{F7308648-BDBC-4793-B11E-172232D11D3B}" cache="NativeTimeline_Dated" caption="Dated" level="0" selectionLevel="2" scrollPosition="2023-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d" xr10:uid="{81F77C8B-F109-4F7F-B21B-FC45484D0666}" cache="NativeTimeline_Dated" caption="Dated" level="2" selectionLevel="2" scrollPosition="2024-05-18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E88C-37DF-4680-B4EC-B61AE385A644}">
  <dimension ref="A1"/>
  <sheetViews>
    <sheetView showGridLines="0" showRowColHeaders="0" tabSelected="1" zoomScale="70" zoomScaleNormal="70" workbookViewId="0">
      <selection activeCell="K41" sqref="K4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DBF69-BB1C-433E-8B0B-A4D39F8B38F7}">
  <dimension ref="A1"/>
  <sheetViews>
    <sheetView showGridLines="0" workbookViewId="0">
      <selection activeCell="F18" sqref="F18"/>
    </sheetView>
  </sheetViews>
  <sheetFormatPr defaultRowHeight="13.8"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0"/>
  <sheetViews>
    <sheetView topLeftCell="B33" zoomScale="175" zoomScaleNormal="175" workbookViewId="0">
      <selection activeCell="H46" sqref="H46"/>
    </sheetView>
  </sheetViews>
  <sheetFormatPr defaultRowHeight="13.8" x14ac:dyDescent="0.25"/>
  <cols>
    <col min="2" max="2" width="10.69921875" customWidth="1"/>
    <col min="3" max="3" width="13.09765625" bestFit="1" customWidth="1"/>
    <col min="4" max="4" width="16" bestFit="1" customWidth="1"/>
    <col min="5" max="10" width="14.3984375" customWidth="1"/>
  </cols>
  <sheetData>
    <row r="1" spans="2:8" x14ac:dyDescent="0.25">
      <c r="B1" s="17" t="s">
        <v>24</v>
      </c>
      <c r="C1" s="17"/>
      <c r="D1" s="17"/>
      <c r="E1" s="17"/>
      <c r="F1" s="17"/>
    </row>
    <row r="2" spans="2:8" x14ac:dyDescent="0.25">
      <c r="B2" s="17"/>
      <c r="C2" s="17"/>
      <c r="D2" s="17"/>
      <c r="E2" s="17"/>
      <c r="F2" s="17"/>
    </row>
    <row r="3" spans="2:8" x14ac:dyDescent="0.25">
      <c r="B3" s="17"/>
      <c r="C3" s="17"/>
      <c r="D3" s="17"/>
      <c r="E3" s="17"/>
      <c r="F3" s="17"/>
    </row>
    <row r="5" spans="2:8" x14ac:dyDescent="0.25">
      <c r="B5" t="s">
        <v>25</v>
      </c>
    </row>
    <row r="10" spans="2:8" x14ac:dyDescent="0.25">
      <c r="B10" t="s">
        <v>23</v>
      </c>
    </row>
    <row r="11" spans="2:8" ht="14.4" x14ac:dyDescent="0.25">
      <c r="B11" s="1" t="s">
        <v>0</v>
      </c>
      <c r="C11" s="2" t="s">
        <v>1</v>
      </c>
      <c r="D11" s="2" t="s">
        <v>2</v>
      </c>
      <c r="E11" s="2" t="s">
        <v>3</v>
      </c>
      <c r="F11" s="2" t="s">
        <v>4</v>
      </c>
      <c r="G11" s="2" t="s">
        <v>5</v>
      </c>
      <c r="H11" s="3" t="s">
        <v>6</v>
      </c>
    </row>
    <row r="12" spans="2:8" x14ac:dyDescent="0.25">
      <c r="B12" s="4" t="s">
        <v>7</v>
      </c>
      <c r="C12" s="5" t="s">
        <v>8</v>
      </c>
      <c r="D12" s="5">
        <v>1000</v>
      </c>
      <c r="E12" s="5">
        <v>200</v>
      </c>
      <c r="F12" s="5" t="s">
        <v>9</v>
      </c>
      <c r="G12" s="5">
        <v>200000</v>
      </c>
      <c r="H12" s="6">
        <v>45422</v>
      </c>
    </row>
    <row r="13" spans="2:8" x14ac:dyDescent="0.25">
      <c r="B13" s="4" t="s">
        <v>10</v>
      </c>
      <c r="C13" s="5" t="s">
        <v>8</v>
      </c>
      <c r="D13" s="5">
        <v>500</v>
      </c>
      <c r="E13" s="5">
        <v>150</v>
      </c>
      <c r="F13" s="5" t="s">
        <v>11</v>
      </c>
      <c r="G13" s="5">
        <v>75000</v>
      </c>
      <c r="H13" s="6">
        <v>45423</v>
      </c>
    </row>
    <row r="14" spans="2:8" x14ac:dyDescent="0.25">
      <c r="B14" s="4" t="s">
        <v>12</v>
      </c>
      <c r="C14" s="5" t="s">
        <v>8</v>
      </c>
      <c r="D14" s="5">
        <v>800</v>
      </c>
      <c r="E14" s="5">
        <v>300</v>
      </c>
      <c r="F14" s="5" t="s">
        <v>13</v>
      </c>
      <c r="G14" s="5">
        <v>240000</v>
      </c>
      <c r="H14" s="6">
        <v>45577</v>
      </c>
    </row>
    <row r="15" spans="2:8" x14ac:dyDescent="0.25">
      <c r="B15" s="4" t="s">
        <v>14</v>
      </c>
      <c r="C15" s="5" t="s">
        <v>8</v>
      </c>
      <c r="D15" s="5">
        <v>1200</v>
      </c>
      <c r="E15" s="5">
        <v>100</v>
      </c>
      <c r="F15" s="5" t="s">
        <v>15</v>
      </c>
      <c r="G15" s="5">
        <v>120000</v>
      </c>
      <c r="H15" s="6">
        <v>45059</v>
      </c>
    </row>
    <row r="16" spans="2:8" x14ac:dyDescent="0.25">
      <c r="B16" s="4" t="s">
        <v>16</v>
      </c>
      <c r="C16" s="5" t="s">
        <v>17</v>
      </c>
      <c r="D16" s="5">
        <v>300</v>
      </c>
      <c r="E16" s="5">
        <v>400</v>
      </c>
      <c r="F16" s="5" t="s">
        <v>9</v>
      </c>
      <c r="G16" s="5">
        <v>120000</v>
      </c>
      <c r="H16" s="6">
        <v>45640</v>
      </c>
    </row>
    <row r="17" spans="2:8" x14ac:dyDescent="0.25">
      <c r="B17" s="4" t="s">
        <v>18</v>
      </c>
      <c r="C17" s="5" t="s">
        <v>17</v>
      </c>
      <c r="D17" s="5">
        <v>50</v>
      </c>
      <c r="E17" s="5">
        <v>600</v>
      </c>
      <c r="F17" s="5" t="s">
        <v>11</v>
      </c>
      <c r="G17" s="5">
        <v>30000</v>
      </c>
      <c r="H17" s="6">
        <v>45397</v>
      </c>
    </row>
    <row r="18" spans="2:8" x14ac:dyDescent="0.25">
      <c r="B18" s="4" t="s">
        <v>19</v>
      </c>
      <c r="C18" s="5" t="s">
        <v>17</v>
      </c>
      <c r="D18" s="5">
        <v>100</v>
      </c>
      <c r="E18" s="5">
        <v>800</v>
      </c>
      <c r="F18" s="5" t="s">
        <v>13</v>
      </c>
      <c r="G18" s="5">
        <v>14000</v>
      </c>
      <c r="H18" s="6">
        <v>45428</v>
      </c>
    </row>
    <row r="19" spans="2:8" x14ac:dyDescent="0.25">
      <c r="B19" s="4" t="s">
        <v>20</v>
      </c>
      <c r="C19" s="5" t="s">
        <v>8</v>
      </c>
      <c r="D19" s="5">
        <v>150</v>
      </c>
      <c r="E19" s="5">
        <v>100</v>
      </c>
      <c r="F19" s="5" t="s">
        <v>15</v>
      </c>
      <c r="G19" s="5">
        <v>7500</v>
      </c>
      <c r="H19" s="6">
        <v>45063</v>
      </c>
    </row>
    <row r="20" spans="2:8" x14ac:dyDescent="0.25">
      <c r="B20" s="4" t="s">
        <v>21</v>
      </c>
      <c r="C20" s="5" t="s">
        <v>8</v>
      </c>
      <c r="D20" s="5">
        <v>200</v>
      </c>
      <c r="E20" s="5">
        <v>100</v>
      </c>
      <c r="F20" s="5" t="s">
        <v>9</v>
      </c>
      <c r="G20" s="5">
        <v>8000</v>
      </c>
      <c r="H20" s="6">
        <v>45369</v>
      </c>
    </row>
    <row r="21" spans="2:8" x14ac:dyDescent="0.25">
      <c r="B21" s="7" t="s">
        <v>22</v>
      </c>
      <c r="C21" s="8" t="s">
        <v>8</v>
      </c>
      <c r="D21" s="8">
        <v>400</v>
      </c>
      <c r="E21" s="8">
        <v>80</v>
      </c>
      <c r="F21" s="8" t="s">
        <v>11</v>
      </c>
      <c r="G21" s="8">
        <v>32000</v>
      </c>
      <c r="H21" s="9">
        <v>45341</v>
      </c>
    </row>
    <row r="24" spans="2:8" x14ac:dyDescent="0.25">
      <c r="B24" s="11" t="s">
        <v>26</v>
      </c>
    </row>
    <row r="26" spans="2:8" x14ac:dyDescent="0.25">
      <c r="C26" s="12" t="s">
        <v>27</v>
      </c>
    </row>
    <row r="33" spans="2:7" x14ac:dyDescent="0.25">
      <c r="B33" t="s">
        <v>47</v>
      </c>
    </row>
    <row r="34" spans="2:7" x14ac:dyDescent="0.25">
      <c r="C34" t="s">
        <v>48</v>
      </c>
    </row>
    <row r="35" spans="2:7" x14ac:dyDescent="0.25">
      <c r="G35" s="25"/>
    </row>
    <row r="36" spans="2:7" x14ac:dyDescent="0.25">
      <c r="C36" t="s">
        <v>49</v>
      </c>
      <c r="G36" s="24"/>
    </row>
    <row r="37" spans="2:7" x14ac:dyDescent="0.25">
      <c r="C37" t="s">
        <v>50</v>
      </c>
      <c r="G37" s="23"/>
    </row>
    <row r="38" spans="2:7" x14ac:dyDescent="0.25">
      <c r="C38" t="s">
        <v>51</v>
      </c>
      <c r="G38" s="22"/>
    </row>
    <row r="39" spans="2:7" x14ac:dyDescent="0.25">
      <c r="D39" t="s">
        <v>52</v>
      </c>
      <c r="G39" s="21"/>
    </row>
    <row r="40" spans="2:7" x14ac:dyDescent="0.25">
      <c r="G40" t="s">
        <v>53</v>
      </c>
    </row>
  </sheetData>
  <mergeCells count="1">
    <mergeCell ref="B1: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12995-ADA1-428A-9EE6-BB5283F1FD59}">
  <dimension ref="A7:J37"/>
  <sheetViews>
    <sheetView topLeftCell="A15" zoomScale="115" zoomScaleNormal="115" workbookViewId="0">
      <selection activeCell="D32" sqref="D32"/>
    </sheetView>
  </sheetViews>
  <sheetFormatPr defaultRowHeight="13.8" x14ac:dyDescent="0.25"/>
  <cols>
    <col min="1" max="1" width="13.3984375" bestFit="1" customWidth="1"/>
    <col min="2" max="2" width="15.09765625" bestFit="1" customWidth="1"/>
    <col min="3" max="4" width="16" bestFit="1" customWidth="1"/>
    <col min="5" max="5" width="13.09765625" bestFit="1" customWidth="1"/>
    <col min="6" max="6" width="15.69921875" bestFit="1" customWidth="1"/>
    <col min="7" max="7" width="16" bestFit="1" customWidth="1"/>
    <col min="8" max="8" width="13.09765625" bestFit="1" customWidth="1"/>
    <col min="9" max="10" width="15.09765625" bestFit="1" customWidth="1"/>
    <col min="11" max="11" width="12" bestFit="1" customWidth="1"/>
  </cols>
  <sheetData>
    <row r="7" spans="2:9" x14ac:dyDescent="0.25">
      <c r="B7" t="s">
        <v>32</v>
      </c>
    </row>
    <row r="8" spans="2:9" x14ac:dyDescent="0.25">
      <c r="B8" s="13" t="s">
        <v>28</v>
      </c>
      <c r="C8" t="s">
        <v>30</v>
      </c>
      <c r="E8" s="13" t="s">
        <v>28</v>
      </c>
      <c r="F8" t="s">
        <v>30</v>
      </c>
      <c r="H8" s="13" t="s">
        <v>28</v>
      </c>
      <c r="I8" t="s">
        <v>31</v>
      </c>
    </row>
    <row r="9" spans="2:9" x14ac:dyDescent="0.25">
      <c r="B9" s="14" t="s">
        <v>13</v>
      </c>
      <c r="C9" s="15">
        <v>1000</v>
      </c>
      <c r="E9" s="14" t="s">
        <v>35</v>
      </c>
      <c r="F9" s="15">
        <v>80</v>
      </c>
      <c r="H9" s="14" t="s">
        <v>17</v>
      </c>
      <c r="I9" s="15">
        <v>164000</v>
      </c>
    </row>
    <row r="10" spans="2:9" x14ac:dyDescent="0.25">
      <c r="B10" s="14" t="s">
        <v>9</v>
      </c>
      <c r="C10" s="15">
        <v>640</v>
      </c>
      <c r="E10" s="14" t="s">
        <v>36</v>
      </c>
      <c r="F10" s="15">
        <v>40</v>
      </c>
      <c r="H10" s="14" t="s">
        <v>8</v>
      </c>
      <c r="I10" s="15">
        <v>682500</v>
      </c>
    </row>
    <row r="11" spans="2:9" x14ac:dyDescent="0.25">
      <c r="B11" s="14" t="s">
        <v>11</v>
      </c>
      <c r="C11" s="15">
        <v>830</v>
      </c>
      <c r="E11" s="14" t="s">
        <v>37</v>
      </c>
      <c r="F11" s="15">
        <v>600</v>
      </c>
      <c r="H11" s="14" t="s">
        <v>29</v>
      </c>
      <c r="I11" s="15">
        <v>846500</v>
      </c>
    </row>
    <row r="12" spans="2:9" x14ac:dyDescent="0.25">
      <c r="B12" s="14" t="s">
        <v>15</v>
      </c>
      <c r="C12" s="15">
        <v>150</v>
      </c>
      <c r="E12" s="14" t="s">
        <v>34</v>
      </c>
      <c r="F12" s="15">
        <v>1200</v>
      </c>
    </row>
    <row r="13" spans="2:9" x14ac:dyDescent="0.25">
      <c r="B13" s="14" t="s">
        <v>29</v>
      </c>
      <c r="C13" s="15">
        <v>2620</v>
      </c>
      <c r="E13" s="14" t="s">
        <v>38</v>
      </c>
      <c r="F13" s="15">
        <v>300</v>
      </c>
    </row>
    <row r="14" spans="2:9" x14ac:dyDescent="0.25">
      <c r="E14" s="14" t="s">
        <v>39</v>
      </c>
      <c r="F14" s="15">
        <v>400</v>
      </c>
    </row>
    <row r="15" spans="2:9" x14ac:dyDescent="0.25">
      <c r="E15" s="14" t="s">
        <v>29</v>
      </c>
      <c r="F15" s="15">
        <v>2620</v>
      </c>
    </row>
    <row r="18" spans="2:10" x14ac:dyDescent="0.25">
      <c r="H18" s="13" t="s">
        <v>28</v>
      </c>
      <c r="I18" t="s">
        <v>30</v>
      </c>
      <c r="J18" t="s">
        <v>31</v>
      </c>
    </row>
    <row r="19" spans="2:10" x14ac:dyDescent="0.25">
      <c r="H19" s="14" t="s">
        <v>22</v>
      </c>
      <c r="I19" s="15">
        <v>80</v>
      </c>
      <c r="J19" s="15">
        <v>32000</v>
      </c>
    </row>
    <row r="20" spans="2:10" x14ac:dyDescent="0.25">
      <c r="H20" s="14" t="s">
        <v>14</v>
      </c>
      <c r="I20" s="15">
        <v>100</v>
      </c>
      <c r="J20" s="15">
        <v>120000</v>
      </c>
    </row>
    <row r="21" spans="2:10" x14ac:dyDescent="0.25">
      <c r="H21" s="14" t="s">
        <v>18</v>
      </c>
      <c r="I21" s="15">
        <v>600</v>
      </c>
      <c r="J21" s="15">
        <v>30000</v>
      </c>
    </row>
    <row r="22" spans="2:10" x14ac:dyDescent="0.25">
      <c r="H22" s="14" t="s">
        <v>7</v>
      </c>
      <c r="I22" s="15">
        <v>200</v>
      </c>
      <c r="J22" s="15">
        <v>200000</v>
      </c>
    </row>
    <row r="23" spans="2:10" x14ac:dyDescent="0.25">
      <c r="H23" s="14" t="s">
        <v>16</v>
      </c>
      <c r="I23" s="15">
        <v>400</v>
      </c>
      <c r="J23" s="15">
        <v>120000</v>
      </c>
    </row>
    <row r="24" spans="2:10" x14ac:dyDescent="0.25">
      <c r="H24" s="14" t="s">
        <v>19</v>
      </c>
      <c r="I24" s="15">
        <v>700</v>
      </c>
      <c r="J24" s="15">
        <v>14000</v>
      </c>
    </row>
    <row r="25" spans="2:10" x14ac:dyDescent="0.25">
      <c r="H25" s="14" t="s">
        <v>20</v>
      </c>
      <c r="I25" s="15">
        <v>50</v>
      </c>
      <c r="J25" s="15">
        <v>7500</v>
      </c>
    </row>
    <row r="26" spans="2:10" x14ac:dyDescent="0.25">
      <c r="H26" s="14" t="s">
        <v>21</v>
      </c>
      <c r="I26" s="15">
        <v>40</v>
      </c>
      <c r="J26" s="15">
        <v>8000</v>
      </c>
    </row>
    <row r="27" spans="2:10" x14ac:dyDescent="0.25">
      <c r="H27" s="14" t="s">
        <v>12</v>
      </c>
      <c r="I27" s="15">
        <v>300</v>
      </c>
      <c r="J27" s="15">
        <v>240000</v>
      </c>
    </row>
    <row r="28" spans="2:10" x14ac:dyDescent="0.25">
      <c r="H28" s="14" t="s">
        <v>10</v>
      </c>
      <c r="I28" s="15">
        <v>150</v>
      </c>
      <c r="J28" s="15">
        <v>75000</v>
      </c>
    </row>
    <row r="29" spans="2:10" x14ac:dyDescent="0.25">
      <c r="H29" s="14" t="s">
        <v>29</v>
      </c>
      <c r="I29" s="15">
        <v>2620</v>
      </c>
      <c r="J29" s="15">
        <v>846500</v>
      </c>
    </row>
    <row r="30" spans="2:10" x14ac:dyDescent="0.25">
      <c r="B30" s="16" t="s">
        <v>33</v>
      </c>
    </row>
    <row r="31" spans="2:10" x14ac:dyDescent="0.25">
      <c r="B31" s="10" t="s">
        <v>5</v>
      </c>
      <c r="D31" s="10" t="s">
        <v>45</v>
      </c>
      <c r="E31" s="10"/>
      <c r="F31" s="10" t="s">
        <v>46</v>
      </c>
    </row>
    <row r="32" spans="2:10" x14ac:dyDescent="0.25">
      <c r="B32" t="s">
        <v>31</v>
      </c>
      <c r="D32" t="s">
        <v>30</v>
      </c>
      <c r="F32" t="s">
        <v>40</v>
      </c>
    </row>
    <row r="33" spans="1:6" x14ac:dyDescent="0.25">
      <c r="B33" s="15">
        <v>846500</v>
      </c>
      <c r="D33" s="15">
        <v>2620</v>
      </c>
      <c r="F33" s="15">
        <v>10</v>
      </c>
    </row>
    <row r="37" spans="1:6" x14ac:dyDescent="0.25">
      <c r="A37" s="26" t="s">
        <v>5</v>
      </c>
      <c r="B37">
        <f>GETPIVOTDATA("Revenue",$B$32)</f>
        <v>846500</v>
      </c>
      <c r="C37" s="26" t="s">
        <v>54</v>
      </c>
      <c r="D37">
        <f>GETPIVOTDATA("Units sold",$D$32)</f>
        <v>2620</v>
      </c>
      <c r="E37" s="26" t="s">
        <v>55</v>
      </c>
      <c r="F37">
        <f>GETPIVOTDATA("Product",$F$32)</f>
        <v>10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1774-D6A6-4084-AE0D-8586E9D8A65E}">
  <dimension ref="A2:O15"/>
  <sheetViews>
    <sheetView zoomScaleNormal="100" workbookViewId="0">
      <selection activeCell="W24" sqref="W24"/>
    </sheetView>
  </sheetViews>
  <sheetFormatPr defaultRowHeight="13.8" x14ac:dyDescent="0.25"/>
  <cols>
    <col min="2" max="8" width="12.19921875" customWidth="1"/>
    <col min="10" max="10" width="13.09765625" bestFit="1" customWidth="1"/>
    <col min="11" max="12" width="15" bestFit="1" customWidth="1"/>
    <col min="13" max="13" width="15.59765625" bestFit="1" customWidth="1"/>
    <col min="14" max="14" width="12" bestFit="1" customWidth="1"/>
    <col min="15" max="15" width="16" bestFit="1" customWidth="1"/>
    <col min="16" max="16" width="15" bestFit="1" customWidth="1"/>
  </cols>
  <sheetData>
    <row r="2" spans="1:15" x14ac:dyDescent="0.25">
      <c r="A2" s="20"/>
      <c r="B2" s="20"/>
      <c r="C2" s="20"/>
      <c r="D2" s="20"/>
      <c r="E2" s="20"/>
      <c r="F2" s="20"/>
      <c r="G2" s="20"/>
      <c r="H2" s="20"/>
    </row>
    <row r="3" spans="1:15" x14ac:dyDescent="0.25">
      <c r="A3" s="20"/>
      <c r="B3" s="20"/>
      <c r="C3" s="20"/>
      <c r="D3" s="20"/>
      <c r="E3" s="20"/>
      <c r="F3" s="20"/>
      <c r="G3" s="20"/>
      <c r="H3" s="20"/>
    </row>
    <row r="4" spans="1:15" ht="14.4" x14ac:dyDescent="0.25">
      <c r="A4" s="20"/>
      <c r="B4" s="1" t="s">
        <v>0</v>
      </c>
      <c r="C4" s="2" t="s">
        <v>1</v>
      </c>
      <c r="D4" s="2" t="s">
        <v>2</v>
      </c>
      <c r="E4" s="2" t="s">
        <v>3</v>
      </c>
      <c r="F4" s="2" t="s">
        <v>4</v>
      </c>
      <c r="G4" s="2" t="s">
        <v>5</v>
      </c>
      <c r="H4" s="3" t="s">
        <v>6</v>
      </c>
    </row>
    <row r="5" spans="1:15" x14ac:dyDescent="0.25">
      <c r="A5" s="20"/>
      <c r="B5" s="4" t="s">
        <v>14</v>
      </c>
      <c r="C5" s="18" t="s">
        <v>8</v>
      </c>
      <c r="D5" s="18">
        <v>1200</v>
      </c>
      <c r="E5" s="18">
        <v>100</v>
      </c>
      <c r="F5" s="18" t="s">
        <v>15</v>
      </c>
      <c r="G5" s="18">
        <f>D5*E5</f>
        <v>120000</v>
      </c>
      <c r="H5" s="6">
        <v>45059</v>
      </c>
    </row>
    <row r="6" spans="1:15" x14ac:dyDescent="0.25">
      <c r="A6" s="20"/>
      <c r="B6" s="4" t="s">
        <v>7</v>
      </c>
      <c r="C6" s="18" t="s">
        <v>8</v>
      </c>
      <c r="D6" s="18">
        <v>1000</v>
      </c>
      <c r="E6" s="18">
        <v>200</v>
      </c>
      <c r="F6" s="18" t="s">
        <v>9</v>
      </c>
      <c r="G6" s="18">
        <f t="shared" ref="G6:G14" si="0">D6*E6</f>
        <v>200000</v>
      </c>
      <c r="H6" s="6">
        <v>45422</v>
      </c>
      <c r="J6" t="s">
        <v>41</v>
      </c>
      <c r="K6" t="s">
        <v>42</v>
      </c>
    </row>
    <row r="7" spans="1:15" x14ac:dyDescent="0.25">
      <c r="A7" s="20"/>
      <c r="B7" s="4" t="s">
        <v>12</v>
      </c>
      <c r="C7" s="18" t="s">
        <v>8</v>
      </c>
      <c r="D7" s="18">
        <v>800</v>
      </c>
      <c r="E7" s="18">
        <v>300</v>
      </c>
      <c r="F7" s="18" t="s">
        <v>13</v>
      </c>
      <c r="G7" s="18">
        <f t="shared" si="0"/>
        <v>240000</v>
      </c>
      <c r="H7" s="6">
        <v>45577</v>
      </c>
    </row>
    <row r="8" spans="1:15" x14ac:dyDescent="0.25">
      <c r="A8" s="20"/>
      <c r="B8" s="4" t="s">
        <v>10</v>
      </c>
      <c r="C8" s="18" t="s">
        <v>8</v>
      </c>
      <c r="D8" s="18">
        <v>500</v>
      </c>
      <c r="E8" s="18">
        <v>150</v>
      </c>
      <c r="F8" s="18" t="s">
        <v>11</v>
      </c>
      <c r="G8" s="18">
        <f t="shared" si="0"/>
        <v>75000</v>
      </c>
      <c r="H8" s="6">
        <v>45423</v>
      </c>
    </row>
    <row r="9" spans="1:15" x14ac:dyDescent="0.25">
      <c r="A9" s="20"/>
      <c r="B9" s="4" t="s">
        <v>22</v>
      </c>
      <c r="C9" s="18" t="s">
        <v>8</v>
      </c>
      <c r="D9" s="18">
        <v>400</v>
      </c>
      <c r="E9" s="18">
        <v>80</v>
      </c>
      <c r="F9" s="18" t="s">
        <v>11</v>
      </c>
      <c r="G9" s="18">
        <f t="shared" si="0"/>
        <v>32000</v>
      </c>
      <c r="H9" s="6">
        <v>45341</v>
      </c>
    </row>
    <row r="10" spans="1:15" x14ac:dyDescent="0.25">
      <c r="A10" s="20"/>
      <c r="B10" s="4" t="s">
        <v>16</v>
      </c>
      <c r="C10" s="18" t="s">
        <v>17</v>
      </c>
      <c r="D10" s="18">
        <v>300</v>
      </c>
      <c r="E10" s="18">
        <v>400</v>
      </c>
      <c r="F10" s="18" t="s">
        <v>9</v>
      </c>
      <c r="G10" s="18">
        <f t="shared" si="0"/>
        <v>120000</v>
      </c>
      <c r="H10" s="6">
        <v>45640</v>
      </c>
    </row>
    <row r="11" spans="1:15" x14ac:dyDescent="0.25">
      <c r="A11" s="20"/>
      <c r="B11" s="4" t="s">
        <v>21</v>
      </c>
      <c r="C11" s="18" t="s">
        <v>8</v>
      </c>
      <c r="D11" s="18">
        <v>200</v>
      </c>
      <c r="E11" s="18">
        <v>40</v>
      </c>
      <c r="F11" s="18" t="s">
        <v>9</v>
      </c>
      <c r="G11" s="18">
        <f t="shared" si="0"/>
        <v>8000</v>
      </c>
      <c r="H11" s="6">
        <v>45369</v>
      </c>
    </row>
    <row r="12" spans="1:15" x14ac:dyDescent="0.25">
      <c r="A12" s="20"/>
      <c r="B12" s="4" t="s">
        <v>20</v>
      </c>
      <c r="C12" s="18" t="s">
        <v>8</v>
      </c>
      <c r="D12" s="18">
        <v>150</v>
      </c>
      <c r="E12" s="18">
        <v>50</v>
      </c>
      <c r="F12" s="18" t="s">
        <v>15</v>
      </c>
      <c r="G12" s="18">
        <f t="shared" si="0"/>
        <v>7500</v>
      </c>
      <c r="H12" s="6">
        <v>45063</v>
      </c>
      <c r="K12" t="s">
        <v>43</v>
      </c>
      <c r="L12" t="s">
        <v>44</v>
      </c>
    </row>
    <row r="13" spans="1:15" x14ac:dyDescent="0.25">
      <c r="A13" s="20"/>
      <c r="B13" s="4" t="s">
        <v>18</v>
      </c>
      <c r="C13" s="18" t="s">
        <v>17</v>
      </c>
      <c r="D13" s="18">
        <v>50</v>
      </c>
      <c r="E13" s="18">
        <v>600</v>
      </c>
      <c r="F13" s="18" t="s">
        <v>11</v>
      </c>
      <c r="G13" s="18">
        <f t="shared" si="0"/>
        <v>30000</v>
      </c>
      <c r="H13" s="6">
        <v>45397</v>
      </c>
    </row>
    <row r="14" spans="1:15" x14ac:dyDescent="0.25">
      <c r="A14" s="20"/>
      <c r="B14" s="7" t="s">
        <v>19</v>
      </c>
      <c r="C14" s="8" t="s">
        <v>17</v>
      </c>
      <c r="D14" s="8">
        <v>20</v>
      </c>
      <c r="E14" s="8">
        <v>700</v>
      </c>
      <c r="F14" s="8" t="s">
        <v>13</v>
      </c>
      <c r="G14" s="8">
        <f t="shared" si="0"/>
        <v>14000</v>
      </c>
      <c r="H14" s="9">
        <v>45428</v>
      </c>
      <c r="K14" s="10" t="s">
        <v>31</v>
      </c>
      <c r="M14" s="10" t="s">
        <v>40</v>
      </c>
      <c r="O14" s="10" t="s">
        <v>30</v>
      </c>
    </row>
    <row r="15" spans="1:15" x14ac:dyDescent="0.25">
      <c r="A15" s="20"/>
      <c r="B15" s="20"/>
      <c r="C15" s="20"/>
      <c r="D15" s="20"/>
      <c r="E15" s="20"/>
      <c r="F15" s="20"/>
      <c r="G15" s="20"/>
      <c r="H15" s="20"/>
      <c r="K15" s="19">
        <v>846500</v>
      </c>
      <c r="M15" s="19">
        <v>10</v>
      </c>
      <c r="O15" s="19">
        <v>2620</v>
      </c>
    </row>
  </sheetData>
  <sortState xmlns:xlrd2="http://schemas.microsoft.com/office/spreadsheetml/2017/richdata2" ref="B5:H14">
    <sortCondition descending="1" ref="D9:D1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Sheet3</vt:lpstr>
      <vt:lpstr>Pivot and Dashboard Lesson</vt:lpstr>
      <vt:lpstr>Pivot Tables</vt:lpstr>
      <vt:lpstr>Data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Idrees</dc:creator>
  <cp:lastModifiedBy>M Idrees Bhat</cp:lastModifiedBy>
  <dcterms:created xsi:type="dcterms:W3CDTF">2015-06-05T18:17:20Z</dcterms:created>
  <dcterms:modified xsi:type="dcterms:W3CDTF">2026-09-20T07:41:12Z</dcterms:modified>
</cp:coreProperties>
</file>